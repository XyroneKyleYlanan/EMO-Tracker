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Usability test" sheetId="2" state="visible" r:id="rId2"/>
    <sheet name="SUS" sheetId="3" state="visible" r:id="rId3"/>
    <sheet name="ISO ratings" sheetId="4" state="visible" r:id="rId4"/>
    <sheet name="Table 4.7" sheetId="5" state="visible" r:id="rId5"/>
    <sheet name="Respondents" sheetId="6" state="visible" r:id="rId6"/>
    <sheet name="Comments" sheetId="7" state="visible" r:id="rId7"/>
    <sheet name="Sca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1" pivotButton="0" quotePrefix="0" xfId="0"/>
    <xf numFmtId="2" fontId="4" fillId="0" borderId="1" applyAlignment="1" pivotButton="0" quotePrefix="0" xfId="0">
      <alignment horizontal="center" vertical="top"/>
    </xf>
    <xf numFmtId="0" fontId="3" fillId="2" borderId="1" pivotButton="0" quotePrefix="0" xfId="0"/>
    <xf numFmtId="0" fontId="3" fillId="2" borderId="1" applyAlignment="1" pivotButton="0" quotePrefix="0" xfId="0">
      <alignment horizontal="center" vertical="top"/>
    </xf>
    <xf numFmtId="2" fontId="3" fillId="2" borderId="1" applyAlignment="1" pivotButton="0" quotePrefix="0" xfId="0">
      <alignment horizontal="center" vertical="top"/>
    </xf>
    <xf numFmtId="164" fontId="3" fillId="0" borderId="1" applyAlignment="1" pivotButton="0" quotePrefix="0" xfId="0">
      <alignment horizontal="center" vertical="top"/>
    </xf>
    <xf numFmtId="165" fontId="3" fillId="0" borderId="1" applyAlignment="1" pivotButton="0" quotePrefix="0" xfId="0">
      <alignment horizontal="center" vertical="top"/>
    </xf>
    <xf numFmtId="165" fontId="3" fillId="2" borderId="1" applyAlignment="1" pivotButton="0" quotePrefix="0" xfId="0">
      <alignment horizontal="center" vertical="top"/>
    </xf>
    <xf numFmtId="0" fontId="3" fillId="0" borderId="1" pivotButton="0" quotePrefix="0" xfId="0"/>
    <xf numFmtId="0" fontId="3" fillId="0" borderId="1" applyAlignment="1" pivotButton="0" quotePrefix="0" xfId="0">
      <alignment horizontal="center" vertical="top"/>
    </xf>
    <xf numFmtId="0" fontId="3" fillId="4" borderId="1" pivotButton="0" quotePrefix="0" xfId="0"/>
    <xf numFmtId="2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2" fontId="4" fillId="0" borderId="1" pivotButton="0" quotePrefix="0" xfId="0"/>
    <xf numFmtId="164" fontId="4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Mean rating per ISO/IEC 25010 characteristic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'Table 4.7'!F39</f>
            </strRef>
          </tx>
          <spPr>
            <a:ln>
              <a:prstDash val="solid"/>
            </a:ln>
          </spPr>
          <cat>
            <numRef>
              <f>'Table 4.7'!$E$40:$E$46</f>
            </numRef>
          </cat>
          <val>
            <numRef>
              <f>'Table 4.7'!$F$40:$F$46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(1 to 5)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EMO Tracker evaluation scoring sheet</t>
        </is>
      </c>
    </row>
    <row r="3">
      <c r="A3" s="2" t="inlineStr">
        <is>
          <t>Each user does three things in one session: the usability test, then the SUS, then the ISO/IEC 25010 questionnaire. Give all three forms the same Respondent No.</t>
        </is>
      </c>
    </row>
    <row r="4">
      <c r="A4" s="2" t="inlineStr"/>
    </row>
    <row r="5">
      <c r="A5" s="2" t="inlineStr">
        <is>
          <t>1. Usability test tab (Table 4.6): copy each task sheet's Completed, Time (s) and Easy to do answers into the task's row.</t>
        </is>
      </c>
    </row>
    <row r="6">
      <c r="A6" s="2" t="inlineStr">
        <is>
          <t>2. SUS tab (Table 4.8): type each SUS form's 10 answers in one row. The score (0 to 100) and the comparison with 68 appear by themselves.</t>
        </is>
      </c>
    </row>
    <row r="7">
      <c r="A7" s="2" t="inlineStr">
        <is>
          <t>3. ISO ratings tab: type each ISO form's 22 answers in its column (R1 = form 1). The Table 4.7 tab fills itself, with the bar chart for Figure 4.27.</t>
        </is>
      </c>
    </row>
    <row r="8">
      <c r="A8" s="2" t="inlineStr">
        <is>
          <t>4. Respondents tab: type each ISO form's Part I answers.</t>
        </is>
      </c>
    </row>
    <row r="9">
      <c r="A9" s="2" t="inlineStr">
        <is>
          <t>5. Comments tab: type the ISO Part III answers and the usability test's closing answers word for word, then give each a category.</t>
        </is>
      </c>
    </row>
    <row r="10">
      <c r="A10" s="2" t="inlineStr">
        <is>
          <t>6. Check every number against the paper forms before copying anything into the paper.</t>
        </is>
      </c>
    </row>
    <row r="11">
      <c r="A11" s="2" t="inlineStr"/>
    </row>
    <row r="12">
      <c r="A12" s="3" t="inlineStr">
        <is>
          <t>Legend: yellow cells = type here. Every other cell is a formula; don't type over it.</t>
        </is>
      </c>
    </row>
    <row r="13">
      <c r="A13" s="2" t="inlineStr">
        <is>
          <t>Example (not real data): if forms 1, 2 and 3 rated ISO statement 1 as 5, 4 and 5, type 5, 4, 5 in D5, E5 and F5 of the ISO ratings tab. The mean shows 4.67 (Excellent).</t>
        </is>
      </c>
    </row>
    <row r="14">
      <c r="A14" s="2" t="inlineStr"/>
    </row>
    <row r="15">
      <c r="A15" s="2" t="inlineStr">
        <is>
          <t>The interpretation scale and its labels are on the Scale tab. Confirm the labels with the adviser before using them in the paper.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12" customWidth="1" min="4" max="4"/>
    <col width="14" customWidth="1" min="5" max="5"/>
    <col width="11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Usability test (Table 4.6 draft): copy each task sheet's results into the yellow cells</t>
        </is>
      </c>
    </row>
    <row r="2">
      <c r="A2" s="4" t="inlineStr">
        <is>
          <t>Completed: pick Yes, With help or No. Time: in seconds (1 min 30 s = 90). Easy to do: the number the user gave (1 to 5).</t>
        </is>
      </c>
    </row>
    <row r="4">
      <c r="A4" s="5" t="inlineStr">
        <is>
          <t>No.</t>
        </is>
      </c>
      <c r="B4" s="5" t="inlineStr">
        <is>
          <t>Role</t>
        </is>
      </c>
      <c r="C4" s="5" t="inlineStr">
        <is>
          <t>Task</t>
        </is>
      </c>
      <c r="D4" s="5" t="inlineStr">
        <is>
          <t>Respondent No.</t>
        </is>
      </c>
      <c r="E4" s="5" t="inlineStr">
        <is>
          <t>Completed</t>
        </is>
      </c>
      <c r="F4" s="5" t="inlineStr">
        <is>
          <t>Time (s)</t>
        </is>
      </c>
      <c r="G4" s="5" t="inlineStr">
        <is>
          <t>Easy to do (1-5)</t>
        </is>
      </c>
      <c r="H4" s="5" t="inlineStr">
        <is>
          <t>Interpretation</t>
        </is>
      </c>
    </row>
    <row r="5">
      <c r="A5" s="6" t="n">
        <v>1</v>
      </c>
      <c r="B5" s="7" t="inlineStr">
        <is>
          <t>Administrator</t>
        </is>
      </c>
      <c r="C5" s="7" t="inlineStr">
        <is>
          <t>Log in as the Administrator</t>
        </is>
      </c>
      <c r="D5" s="8" t="n"/>
      <c r="E5" s="8" t="n"/>
      <c r="F5" s="8" t="n"/>
      <c r="G5" s="8" t="n"/>
      <c r="H5" s="6">
        <f>IF(G5="","",INDEX(Scale!$D$5:$D$9,MATCH(G5,Scale!$A$5:$A$9,1)))</f>
        <v/>
      </c>
    </row>
    <row r="6">
      <c r="A6" s="6" t="n">
        <v>2</v>
      </c>
      <c r="B6" s="7" t="inlineStr">
        <is>
          <t>Administrator</t>
        </is>
      </c>
      <c r="C6" s="7" t="inlineStr">
        <is>
          <t>Add the Research Colloquium (internal event)</t>
        </is>
      </c>
      <c r="D6" s="8" t="n"/>
      <c r="E6" s="8" t="n"/>
      <c r="F6" s="8" t="n"/>
      <c r="G6" s="8" t="n"/>
      <c r="H6" s="6">
        <f>IF(G6="","",INDEX(Scale!$D$5:$D$9,MATCH(G6,Scale!$A$5:$A$9,1)))</f>
        <v/>
      </c>
    </row>
    <row r="7">
      <c r="A7" s="6" t="n">
        <v>3</v>
      </c>
      <c r="B7" s="7" t="inlineStr">
        <is>
          <t>Administrator</t>
        </is>
      </c>
      <c r="C7" s="7" t="inlineStr">
        <is>
          <t>Add an overlapping booking at PSB MPH</t>
        </is>
      </c>
      <c r="D7" s="8" t="n"/>
      <c r="E7" s="8" t="n"/>
      <c r="F7" s="8" t="n"/>
      <c r="G7" s="8" t="n"/>
      <c r="H7" s="6">
        <f>IF(G7="","",INDEX(Scale!$D$5:$D$9,MATCH(G7,Scale!$A$5:$A$9,1)))</f>
        <v/>
      </c>
    </row>
    <row r="8">
      <c r="A8" s="6" t="n">
        <v>4</v>
      </c>
      <c r="B8" s="7" t="inlineStr">
        <is>
          <t>Administrator</t>
        </is>
      </c>
      <c r="C8" s="7" t="inlineStr">
        <is>
          <t>Move the Research Colloquium one week later (rescheduled)</t>
        </is>
      </c>
      <c r="D8" s="8" t="n"/>
      <c r="E8" s="8" t="n"/>
      <c r="F8" s="8" t="n"/>
      <c r="G8" s="8" t="n"/>
      <c r="H8" s="6">
        <f>IF(G8="","",INDEX(Scale!$D$5:$D$9,MATCH(G8,Scale!$A$5:$A$9,1)))</f>
        <v/>
      </c>
    </row>
    <row r="9">
      <c r="A9" s="6" t="n">
        <v>5</v>
      </c>
      <c r="B9" s="7" t="inlineStr">
        <is>
          <t>Administrator</t>
        </is>
      </c>
      <c r="C9" s="7" t="inlineStr">
        <is>
          <t>Cancel, then restore the Research Colloquium</t>
        </is>
      </c>
      <c r="D9" s="8" t="n"/>
      <c r="E9" s="8" t="n"/>
      <c r="F9" s="8" t="n"/>
      <c r="G9" s="8" t="n"/>
      <c r="H9" s="6">
        <f>IF(G9="","",INDEX(Scale!$D$5:$D$9,MATCH(G9,Scale!$A$5:$A$9,1)))</f>
        <v/>
      </c>
    </row>
    <row r="10">
      <c r="A10" s="6" t="n">
        <v>6</v>
      </c>
      <c r="B10" s="7" t="inlineStr">
        <is>
          <t>Administrator</t>
        </is>
      </c>
      <c r="C10" s="7" t="inlineStr">
        <is>
          <t>Add the venue PSB Room 305</t>
        </is>
      </c>
      <c r="D10" s="8" t="n"/>
      <c r="E10" s="8" t="n"/>
      <c r="F10" s="8" t="n"/>
      <c r="G10" s="8" t="n"/>
      <c r="H10" s="6">
        <f>IF(G10="","",INDEX(Scale!$D$5:$D$9,MATCH(G10,Scale!$A$5:$A$9,1)))</f>
        <v/>
      </c>
    </row>
    <row r="11">
      <c r="A11" s="6" t="n">
        <v>7</v>
      </c>
      <c r="B11" s="7" t="inlineStr">
        <is>
          <t>Administrator</t>
        </is>
      </c>
      <c r="C11" s="7" t="inlineStr">
        <is>
          <t>Create, then deactivate a Staff account</t>
        </is>
      </c>
      <c r="D11" s="8" t="n"/>
      <c r="E11" s="8" t="n"/>
      <c r="F11" s="8" t="n"/>
      <c r="G11" s="8" t="n"/>
      <c r="H11" s="6">
        <f>IF(G11="","",INDEX(Scale!$D$5:$D$9,MATCH(G11,Scale!$A$5:$A$9,1)))</f>
        <v/>
      </c>
    </row>
    <row r="12">
      <c r="A12" s="6" t="n">
        <v>8</v>
      </c>
      <c r="B12" s="7" t="inlineStr">
        <is>
          <t>Officer</t>
        </is>
      </c>
      <c r="C12" s="7" t="inlineStr">
        <is>
          <t>Add three tasks to the Inter-College Quiz Bee</t>
        </is>
      </c>
      <c r="D12" s="8" t="n"/>
      <c r="E12" s="8" t="n"/>
      <c r="F12" s="8" t="n"/>
      <c r="G12" s="8" t="n"/>
      <c r="H12" s="6">
        <f>IF(G12="","",INDEX(Scale!$D$5:$D$9,MATCH(G12,Scale!$A$5:$A$9,1)))</f>
        <v/>
      </c>
    </row>
    <row r="13">
      <c r="A13" s="6" t="n">
        <v>9</v>
      </c>
      <c r="B13" s="7" t="inlineStr">
        <is>
          <t>Officer</t>
        </is>
      </c>
      <c r="C13" s="7" t="inlineStr">
        <is>
          <t>Upload, then download a PDF</t>
        </is>
      </c>
      <c r="D13" s="8" t="n"/>
      <c r="E13" s="8" t="n"/>
      <c r="F13" s="8" t="n"/>
      <c r="G13" s="8" t="n"/>
      <c r="H13" s="6">
        <f>IF(G13="","",INDEX(Scale!$D$5:$D$9,MATCH(G13,Scale!$A$5:$A$9,1)))</f>
        <v/>
      </c>
    </row>
    <row r="14">
      <c r="A14" s="6" t="n">
        <v>10</v>
      </c>
      <c r="B14" s="7" t="inlineStr">
        <is>
          <t>Officer</t>
        </is>
      </c>
      <c r="C14" s="7" t="inlineStr">
        <is>
          <t>Download an event's PDF report</t>
        </is>
      </c>
      <c r="D14" s="8" t="n"/>
      <c r="E14" s="8" t="n"/>
      <c r="F14" s="8" t="n"/>
      <c r="G14" s="8" t="n"/>
      <c r="H14" s="6">
        <f>IF(G14="","",INDEX(Scale!$D$5:$D$9,MATCH(G14,Scale!$A$5:$A$9,1)))</f>
        <v/>
      </c>
    </row>
    <row r="15">
      <c r="A15" s="6" t="n">
        <v>11</v>
      </c>
      <c r="B15" s="7" t="inlineStr">
        <is>
          <t>Officer</t>
        </is>
      </c>
      <c r="C15" s="7" t="inlineStr">
        <is>
          <t>Find this month's completed events on Analytics</t>
        </is>
      </c>
      <c r="D15" s="8" t="n"/>
      <c r="E15" s="8" t="n"/>
      <c r="F15" s="8" t="n"/>
      <c r="G15" s="8" t="n"/>
      <c r="H15" s="6">
        <f>IF(G15="","",INDEX(Scale!$D$5:$D$9,MATCH(G15,Scale!$A$5:$A$9,1)))</f>
        <v/>
      </c>
    </row>
    <row r="16">
      <c r="A16" s="6" t="n">
        <v>12</v>
      </c>
      <c r="B16" s="7" t="inlineStr">
        <is>
          <t>Officer</t>
        </is>
      </c>
      <c r="C16" s="7" t="inlineStr">
        <is>
          <t>Try to change a task of a completed event</t>
        </is>
      </c>
      <c r="D16" s="8" t="n"/>
      <c r="E16" s="8" t="n"/>
      <c r="F16" s="8" t="n"/>
      <c r="G16" s="8" t="n"/>
      <c r="H16" s="6">
        <f>IF(G16="","",INDEX(Scale!$D$5:$D$9,MATCH(G16,Scale!$A$5:$A$9,1)))</f>
        <v/>
      </c>
    </row>
    <row r="17">
      <c r="A17" s="6" t="n">
        <v>13</v>
      </c>
      <c r="B17" s="7" t="inlineStr">
        <is>
          <t>Officer</t>
        </is>
      </c>
      <c r="C17" s="7" t="inlineStr">
        <is>
          <t>Export this year's Schedule to Excel</t>
        </is>
      </c>
      <c r="D17" s="8" t="n"/>
      <c r="E17" s="8" t="n"/>
      <c r="F17" s="8" t="n"/>
      <c r="G17" s="8" t="n"/>
      <c r="H17" s="6">
        <f>IF(G17="","",INDEX(Scale!$D$5:$D$9,MATCH(G17,Scale!$A$5:$A$9,1)))</f>
        <v/>
      </c>
    </row>
    <row r="18">
      <c r="A18" s="6" t="n">
        <v>14</v>
      </c>
      <c r="B18" s="7" t="inlineStr">
        <is>
          <t>Staff</t>
        </is>
      </c>
      <c r="C18" s="7" t="inlineStr">
        <is>
          <t>Log in as Anna Reyes</t>
        </is>
      </c>
      <c r="D18" s="8" t="n"/>
      <c r="E18" s="8" t="n"/>
      <c r="F18" s="8" t="n"/>
      <c r="G18" s="8" t="n"/>
      <c r="H18" s="6">
        <f>IF(G18="","",INDEX(Scale!$D$5:$D$9,MATCH(G18,Scale!$A$5:$A$9,1)))</f>
        <v/>
      </c>
    </row>
    <row r="19">
      <c r="A19" s="6" t="n">
        <v>15</v>
      </c>
      <c r="B19" s="7" t="inlineStr">
        <is>
          <t>Staff</t>
        </is>
      </c>
      <c r="C19" s="7" t="inlineStr">
        <is>
          <t>Mark own task as Done</t>
        </is>
      </c>
      <c r="D19" s="8" t="n"/>
      <c r="E19" s="8" t="n"/>
      <c r="F19" s="8" t="n"/>
      <c r="G19" s="8" t="n"/>
      <c r="H19" s="6">
        <f>IF(G19="","",INDEX(Scale!$D$5:$D$9,MATCH(G19,Scale!$A$5:$A$9,1)))</f>
        <v/>
      </c>
    </row>
    <row r="20">
      <c r="A20" s="6" t="n">
        <v>16</v>
      </c>
      <c r="B20" s="7" t="inlineStr">
        <is>
          <t>Staff</t>
        </is>
      </c>
      <c r="C20" s="7" t="inlineStr">
        <is>
          <t>Find the next Weekly Flag Ceremony with search</t>
        </is>
      </c>
      <c r="D20" s="8" t="n"/>
      <c r="E20" s="8" t="n"/>
      <c r="F20" s="8" t="n"/>
      <c r="G20" s="8" t="n"/>
      <c r="H20" s="6">
        <f>IF(G20="","",INDEX(Scale!$D$5:$D$9,MATCH(G20,Scale!$A$5:$A$9,1)))</f>
        <v/>
      </c>
    </row>
    <row r="21">
      <c r="A21" s="6" t="n">
        <v>17</v>
      </c>
      <c r="B21" s="7" t="inlineStr">
        <is>
          <t>Staff</t>
        </is>
      </c>
      <c r="C21" s="7" t="inlineStr">
        <is>
          <t>Change own password</t>
        </is>
      </c>
      <c r="D21" s="8" t="n"/>
      <c r="E21" s="8" t="n"/>
      <c r="F21" s="8" t="n"/>
      <c r="G21" s="8" t="n"/>
      <c r="H21" s="6">
        <f>IF(G21="","",INDEX(Scale!$D$5:$D$9,MATCH(G21,Scale!$A$5:$A$9,1)))</f>
        <v/>
      </c>
    </row>
    <row r="23">
      <c r="A23" s="9" t="inlineStr">
        <is>
          <t>Summary by role</t>
        </is>
      </c>
    </row>
    <row r="24">
      <c r="A24" s="5" t="inlineStr">
        <is>
          <t>Role</t>
        </is>
      </c>
      <c r="B24" s="5" t="inlineStr">
        <is>
          <t>Tasks</t>
        </is>
      </c>
      <c r="C24" s="5" t="inlineStr">
        <is>
          <t>Recorded</t>
        </is>
      </c>
      <c r="D24" s="5" t="inlineStr">
        <is>
          <t>Completed without help</t>
        </is>
      </c>
      <c r="E24" s="5" t="inlineStr">
        <is>
          <t>Completed with help</t>
        </is>
      </c>
      <c r="F24" s="5" t="inlineStr">
        <is>
          <t>Not completed</t>
        </is>
      </c>
      <c r="G24" s="5" t="inlineStr">
        <is>
          <t>Average time (s)</t>
        </is>
      </c>
      <c r="H24" s="5" t="inlineStr">
        <is>
          <t>Average ease</t>
        </is>
      </c>
      <c r="I24" s="5" t="inlineStr">
        <is>
          <t>Interpretation</t>
        </is>
      </c>
    </row>
    <row r="25">
      <c r="A25" s="10" t="inlineStr">
        <is>
          <t>Administrator</t>
        </is>
      </c>
      <c r="B25" s="6" t="n">
        <v>7</v>
      </c>
      <c r="C25" s="6">
        <f>COUNTA(E5:E11)</f>
        <v/>
      </c>
      <c r="D25" s="6">
        <f>COUNTIF(E5:E11,"Yes")</f>
        <v/>
      </c>
      <c r="E25" s="6">
        <f>COUNTIF(E5:E11,"With help")</f>
        <v/>
      </c>
      <c r="F25" s="6">
        <f>COUNTIF(E5:E11,"No")</f>
        <v/>
      </c>
      <c r="G25" s="6">
        <f>IFERROR(ROUND(AVERAGE(F5:F11),0),"")</f>
        <v/>
      </c>
      <c r="H25" s="11">
        <f>IFERROR(ROUND(AVERAGE(G5:G11),2),"")</f>
        <v/>
      </c>
      <c r="I25" s="6">
        <f>IF(H25="","",INDEX(Scale!$D$5:$D$9,MATCH(H25,Scale!$A$5:$A$9,1)))</f>
        <v/>
      </c>
    </row>
    <row r="26">
      <c r="A26" s="10" t="inlineStr">
        <is>
          <t>Officer</t>
        </is>
      </c>
      <c r="B26" s="6" t="n">
        <v>6</v>
      </c>
      <c r="C26" s="6">
        <f>COUNTA(E12:E17)</f>
        <v/>
      </c>
      <c r="D26" s="6">
        <f>COUNTIF(E12:E17,"Yes")</f>
        <v/>
      </c>
      <c r="E26" s="6">
        <f>COUNTIF(E12:E17,"With help")</f>
        <v/>
      </c>
      <c r="F26" s="6">
        <f>COUNTIF(E12:E17,"No")</f>
        <v/>
      </c>
      <c r="G26" s="6">
        <f>IFERROR(ROUND(AVERAGE(F12:F17),0),"")</f>
        <v/>
      </c>
      <c r="H26" s="11">
        <f>IFERROR(ROUND(AVERAGE(G12:G17),2),"")</f>
        <v/>
      </c>
      <c r="I26" s="6">
        <f>IF(H26="","",INDEX(Scale!$D$5:$D$9,MATCH(H26,Scale!$A$5:$A$9,1)))</f>
        <v/>
      </c>
    </row>
    <row r="27">
      <c r="A27" s="10" t="inlineStr">
        <is>
          <t>Staff</t>
        </is>
      </c>
      <c r="B27" s="6" t="n">
        <v>4</v>
      </c>
      <c r="C27" s="6">
        <f>COUNTA(E18:E21)</f>
        <v/>
      </c>
      <c r="D27" s="6">
        <f>COUNTIF(E18:E21,"Yes")</f>
        <v/>
      </c>
      <c r="E27" s="6">
        <f>COUNTIF(E18:E21,"With help")</f>
        <v/>
      </c>
      <c r="F27" s="6">
        <f>COUNTIF(E18:E21,"No")</f>
        <v/>
      </c>
      <c r="G27" s="6">
        <f>IFERROR(ROUND(AVERAGE(F18:F21),0),"")</f>
        <v/>
      </c>
      <c r="H27" s="11">
        <f>IFERROR(ROUND(AVERAGE(G18:G21),2),"")</f>
        <v/>
      </c>
      <c r="I27" s="6">
        <f>IF(H27="","",INDEX(Scale!$D$5:$D$9,MATCH(H27,Scale!$A$5:$A$9,1)))</f>
        <v/>
      </c>
    </row>
    <row r="28">
      <c r="A28" s="12" t="inlineStr">
        <is>
          <t>All tasks</t>
        </is>
      </c>
      <c r="B28" s="13">
        <f>SUM(B25:B27)</f>
        <v/>
      </c>
      <c r="C28" s="13">
        <f>SUM(C25:C27)</f>
        <v/>
      </c>
      <c r="D28" s="13">
        <f>SUM(D25:D27)</f>
        <v/>
      </c>
      <c r="E28" s="13">
        <f>SUM(E25:E27)</f>
        <v/>
      </c>
      <c r="F28" s="13">
        <f>SUM(F25:F27)</f>
        <v/>
      </c>
      <c r="G28" s="13">
        <f>IFERROR(ROUND(AVERAGE(F5:F21),0),"")</f>
        <v/>
      </c>
      <c r="H28" s="14">
        <f>IFERROR(ROUND(AVERAGE(G5:G21),2),"")</f>
        <v/>
      </c>
      <c r="I28" s="13">
        <f>IF(H28="","",INDEX(Scale!$D$5:$D$9,MATCH(H28,Scale!$A$5:$A$9,1)))</f>
        <v/>
      </c>
    </row>
    <row r="30">
      <c r="A30" s="9" t="inlineStr">
        <is>
          <t>Completion rate without help</t>
        </is>
      </c>
      <c r="D30" s="15">
        <f>IF(C28=0,"",D28/C28)</f>
        <v/>
      </c>
    </row>
    <row r="31">
      <c r="A31" s="9" t="inlineStr">
        <is>
          <t>Completion rate with or without help</t>
        </is>
      </c>
      <c r="D31" s="15">
        <f>IF(C28=0,"",(D28+E28)/C28)</f>
        <v/>
      </c>
    </row>
    <row r="32">
      <c r="A32" s="4" t="inlineStr">
        <is>
          <t>Rates are out of the tasks recorded. Average time uses only the tasks with a time written.</t>
        </is>
      </c>
    </row>
  </sheetData>
  <dataValidations count="2">
    <dataValidation sqref="E5:E21" showDropDown="0" showInputMessage="0" showErrorMessage="0" allowBlank="1" type="list">
      <formula1>"Yes,With help,No"</formula1>
    </dataValidation>
    <dataValidation sqref="G5:G21" showDropDown="0" showInputMessage="0" showErrorMessage="1" allowBlank="1" errorTitle="Rating 1 to 5" error="Type a whole number from 1 to 5.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0" customWidth="1" min="13" max="13"/>
    <col width="14" customWidth="1" min="14" max="14"/>
  </cols>
  <sheetData>
    <row r="1">
      <c r="A1" s="1" t="inlineStr">
        <is>
          <t>System Usability Scale (Table 4.8 draft): type each form's answers (1 to 5)</t>
        </is>
      </c>
    </row>
    <row r="2">
      <c r="A2" s="4" t="inlineStr">
        <is>
          <t>One row per form. The score appears only when all 10 statements are answered. Do not reverse the even statements yourself; the formula does it.</t>
        </is>
      </c>
    </row>
    <row r="4">
      <c r="A4" s="5" t="inlineStr">
        <is>
          <t>Respondent No.</t>
        </is>
      </c>
      <c r="B4" s="5" t="inlineStr">
        <is>
          <t>Role</t>
        </is>
      </c>
      <c r="C4" s="5" t="inlineStr">
        <is>
          <t>Q1</t>
        </is>
      </c>
      <c r="D4" s="5" t="inlineStr">
        <is>
          <t>Q2</t>
        </is>
      </c>
      <c r="E4" s="5" t="inlineStr">
        <is>
          <t>Q3</t>
        </is>
      </c>
      <c r="F4" s="5" t="inlineStr">
        <is>
          <t>Q4</t>
        </is>
      </c>
      <c r="G4" s="5" t="inlineStr">
        <is>
          <t>Q5</t>
        </is>
      </c>
      <c r="H4" s="5" t="inlineStr">
        <is>
          <t>Q6</t>
        </is>
      </c>
      <c r="I4" s="5" t="inlineStr">
        <is>
          <t>Q7</t>
        </is>
      </c>
      <c r="J4" s="5" t="inlineStr">
        <is>
          <t>Q8</t>
        </is>
      </c>
      <c r="K4" s="5" t="inlineStr">
        <is>
          <t>Q9</t>
        </is>
      </c>
      <c r="L4" s="5" t="inlineStr">
        <is>
          <t>Q10</t>
        </is>
      </c>
      <c r="M4" s="5" t="inlineStr">
        <is>
          <t>Answered</t>
        </is>
      </c>
      <c r="N4" s="5" t="inlineStr">
        <is>
          <t>SUS score (0-100)</t>
        </is>
      </c>
    </row>
    <row r="5">
      <c r="A5" s="6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6">
        <f>COUNT(C5:L5)</f>
        <v/>
      </c>
      <c r="N5" s="16">
        <f>IF(M5&lt;10,"",2.5*((C5-1)+(E5-1)+(G5-1)+(I5-1)+(K5-1)+(5-D5)+(5-F5)+(5-H5)+(5-J5)+(5-L5)))</f>
        <v/>
      </c>
    </row>
    <row r="6">
      <c r="A6" s="6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6">
        <f>COUNT(C6:L6)</f>
        <v/>
      </c>
      <c r="N6" s="16">
        <f>IF(M6&lt;10,"",2.5*((C6-1)+(E6-1)+(G6-1)+(I6-1)+(K6-1)+(5-D6)+(5-F6)+(5-H6)+(5-J6)+(5-L6)))</f>
        <v/>
      </c>
    </row>
    <row r="7">
      <c r="A7" s="6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6">
        <f>COUNT(C7:L7)</f>
        <v/>
      </c>
      <c r="N7" s="16">
        <f>IF(M7&lt;10,"",2.5*((C7-1)+(E7-1)+(G7-1)+(I7-1)+(K7-1)+(5-D7)+(5-F7)+(5-H7)+(5-J7)+(5-L7)))</f>
        <v/>
      </c>
    </row>
    <row r="8">
      <c r="A8" s="6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6">
        <f>COUNT(C8:L8)</f>
        <v/>
      </c>
      <c r="N8" s="16">
        <f>IF(M8&lt;10,"",2.5*((C8-1)+(E8-1)+(G8-1)+(I8-1)+(K8-1)+(5-D8)+(5-F8)+(5-H8)+(5-J8)+(5-L8)))</f>
        <v/>
      </c>
    </row>
    <row r="9">
      <c r="A9" s="6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6">
        <f>COUNT(C9:L9)</f>
        <v/>
      </c>
      <c r="N9" s="16">
        <f>IF(M9&lt;10,"",2.5*((C9-1)+(E9-1)+(G9-1)+(I9-1)+(K9-1)+(5-D9)+(5-F9)+(5-H9)+(5-J9)+(5-L9)))</f>
        <v/>
      </c>
    </row>
    <row r="11">
      <c r="A11" s="12" t="inlineStr">
        <is>
          <t>Average SUS score</t>
        </is>
      </c>
      <c r="N11" s="17">
        <f>IFERROR(ROUND(AVERAGE(N5:N9),1),"")</f>
        <v/>
      </c>
    </row>
    <row r="12">
      <c r="A12" s="18" t="inlineStr">
        <is>
          <t>Benchmark (average SUS score)</t>
        </is>
      </c>
      <c r="N12" s="19" t="n">
        <v>68</v>
      </c>
    </row>
    <row r="13">
      <c r="A13" s="18" t="inlineStr">
        <is>
          <t>Compared with the benchmark</t>
        </is>
      </c>
      <c r="N13" s="19">
        <f>IF(N11="","",IF(N11&gt;N12,"Above average",IF(N11=N12,"Average","Below average")))</f>
        <v/>
      </c>
    </row>
    <row r="15">
      <c r="A15" s="4" t="inlineStr">
        <is>
          <t>Score per form = 2.5 x [ (Q1-1)+(Q3-1)+(Q5-1)+(Q7-1)+(Q9-1) + (5-Q2)+(5-Q4)+(5-Q6)+(5-Q8)+(5-Q10) ]. The benchmark of 68 is the commonly cited average SUS score (see Hyzy et al., 2022, already in Chapter 2). Source of the scale: Brooke (1996).</t>
        </is>
      </c>
    </row>
  </sheetData>
  <dataValidations count="2">
    <dataValidation sqref="C5:L9" showDropDown="0" showInputMessage="0" showErrorMessage="1" allowBlank="1" errorTitle="Rating 1 to 5" error="Type a whole number from 1 to 5." type="whole" operator="between">
      <formula1>1</formula1>
      <formula2>5</formula2>
    </dataValidation>
    <dataValidation sqref="B5:B9" showDropDown="0" showInputMessage="0" showErrorMessage="0" allowBlank="1" type="list">
      <formula1>"Administrator,Officer,Staff"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5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4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10" customWidth="1" min="15" max="15"/>
    <col width="13" customWidth="1" min="16" max="16"/>
  </cols>
  <sheetData>
    <row r="1">
      <c r="A1" s="1" t="inlineStr">
        <is>
          <t>ISO/IEC 25010 ratings: type each respondent's answer (1 to 5) in the yellow cells</t>
        </is>
      </c>
    </row>
    <row r="2">
      <c r="A2" s="4" t="inlineStr">
        <is>
          <t>One column per respondent, in the order of the Respondent No. on the forms. Leave a cell empty if the statement was not answered.</t>
        </is>
      </c>
    </row>
    <row r="4">
      <c r="A4" s="5" t="inlineStr">
        <is>
          <t>No.</t>
        </is>
      </c>
      <c r="B4" s="5" t="inlineStr">
        <is>
          <t>Characteristic</t>
        </is>
      </c>
      <c r="C4" s="5" t="inlineStr">
        <is>
          <t>Statement</t>
        </is>
      </c>
      <c r="D4" s="5" t="inlineStr">
        <is>
          <t>R1</t>
        </is>
      </c>
      <c r="E4" s="5" t="inlineStr">
        <is>
          <t>R2</t>
        </is>
      </c>
      <c r="F4" s="5" t="inlineStr">
        <is>
          <t>R3</t>
        </is>
      </c>
      <c r="G4" s="5" t="inlineStr">
        <is>
          <t>R4</t>
        </is>
      </c>
      <c r="H4" s="5" t="inlineStr">
        <is>
          <t>R5</t>
        </is>
      </c>
      <c r="I4" s="5" t="inlineStr">
        <is>
          <t>n</t>
        </is>
      </c>
      <c r="J4" s="5" t="inlineStr">
        <is>
          <t>f (5)</t>
        </is>
      </c>
      <c r="K4" s="5" t="inlineStr">
        <is>
          <t>f (4)</t>
        </is>
      </c>
      <c r="L4" s="5" t="inlineStr">
        <is>
          <t>f (3)</t>
        </is>
      </c>
      <c r="M4" s="5" t="inlineStr">
        <is>
          <t>f (2)</t>
        </is>
      </c>
      <c r="N4" s="5" t="inlineStr">
        <is>
          <t>f (1)</t>
        </is>
      </c>
      <c r="O4" s="5" t="inlineStr">
        <is>
          <t>Weighted mean</t>
        </is>
      </c>
      <c r="P4" s="5" t="inlineStr">
        <is>
          <t>Interpretation</t>
        </is>
      </c>
    </row>
    <row r="5">
      <c r="A5" s="6" t="n">
        <v>1</v>
      </c>
      <c r="B5" s="7" t="inlineStr">
        <is>
          <t>Functional Suitability</t>
        </is>
      </c>
      <c r="C5" s="7" t="inlineStr">
        <is>
          <t>EMO Tracker has the features I need to keep the EMO's schedule and prepare its events.</t>
        </is>
      </c>
      <c r="D5" s="8" t="n"/>
      <c r="E5" s="8" t="n"/>
      <c r="F5" s="8" t="n"/>
      <c r="G5" s="8" t="n"/>
      <c r="H5" s="8" t="n"/>
      <c r="I5" s="6">
        <f>COUNT(D5:H5)</f>
        <v/>
      </c>
      <c r="J5" s="6">
        <f>COUNTIF(D5:H5,5)</f>
        <v/>
      </c>
      <c r="K5" s="6">
        <f>COUNTIF(D5:H5,4)</f>
        <v/>
      </c>
      <c r="L5" s="6">
        <f>COUNTIF(D5:H5,3)</f>
        <v/>
      </c>
      <c r="M5" s="6">
        <f>COUNTIF(D5:H5,2)</f>
        <v/>
      </c>
      <c r="N5" s="6">
        <f>COUNTIF(D5:H5,1)</f>
        <v/>
      </c>
      <c r="O5" s="11">
        <f>IF(I5=0,"",ROUND((5*J5+4*K5+3*L5+2*M5+1*N5)/I5,2))</f>
        <v/>
      </c>
      <c r="P5" s="6">
        <f>IF(O5="","",INDEX(Scale!$D$5:$D$9,MATCH(O5,Scale!$A$5:$A$9,1)))</f>
        <v/>
      </c>
    </row>
    <row r="6">
      <c r="A6" s="6" t="n">
        <v>2</v>
      </c>
      <c r="B6" s="7" t="inlineStr">
        <is>
          <t>Functional Suitability</t>
        </is>
      </c>
      <c r="C6" s="7" t="inlineStr">
        <is>
          <t>The system saves and shows event, venue, and task details correctly.</t>
        </is>
      </c>
      <c r="D6" s="8" t="n"/>
      <c r="E6" s="8" t="n"/>
      <c r="F6" s="8" t="n"/>
      <c r="G6" s="8" t="n"/>
      <c r="H6" s="8" t="n"/>
      <c r="I6" s="6">
        <f>COUNT(D6:H6)</f>
        <v/>
      </c>
      <c r="J6" s="6">
        <f>COUNTIF(D6:H6,5)</f>
        <v/>
      </c>
      <c r="K6" s="6">
        <f>COUNTIF(D6:H6,4)</f>
        <v/>
      </c>
      <c r="L6" s="6">
        <f>COUNTIF(D6:H6,3)</f>
        <v/>
      </c>
      <c r="M6" s="6">
        <f>COUNTIF(D6:H6,2)</f>
        <v/>
      </c>
      <c r="N6" s="6">
        <f>COUNTIF(D6:H6,1)</f>
        <v/>
      </c>
      <c r="O6" s="11">
        <f>IF(I6=0,"",ROUND((5*J6+4*K6+3*L6+2*M6+1*N6)/I6,2))</f>
        <v/>
      </c>
      <c r="P6" s="6">
        <f>IF(O6="","",INDEX(Scale!$D$5:$D$9,MATCH(O6,Scale!$A$5:$A$9,1)))</f>
        <v/>
      </c>
    </row>
    <row r="7">
      <c r="A7" s="6" t="n">
        <v>3</v>
      </c>
      <c r="B7" s="7" t="inlineStr">
        <is>
          <t>Functional Suitability</t>
        </is>
      </c>
      <c r="C7" s="7" t="inlineStr">
        <is>
          <t>The readiness label and its reason match how prepared an event really is.</t>
        </is>
      </c>
      <c r="D7" s="8" t="n"/>
      <c r="E7" s="8" t="n"/>
      <c r="F7" s="8" t="n"/>
      <c r="G7" s="8" t="n"/>
      <c r="H7" s="8" t="n"/>
      <c r="I7" s="6">
        <f>COUNT(D7:H7)</f>
        <v/>
      </c>
      <c r="J7" s="6">
        <f>COUNTIF(D7:H7,5)</f>
        <v/>
      </c>
      <c r="K7" s="6">
        <f>COUNTIF(D7:H7,4)</f>
        <v/>
      </c>
      <c r="L7" s="6">
        <f>COUNTIF(D7:H7,3)</f>
        <v/>
      </c>
      <c r="M7" s="6">
        <f>COUNTIF(D7:H7,2)</f>
        <v/>
      </c>
      <c r="N7" s="6">
        <f>COUNTIF(D7:H7,1)</f>
        <v/>
      </c>
      <c r="O7" s="11">
        <f>IF(I7=0,"",ROUND((5*J7+4*K7+3*L7+2*M7+1*N7)/I7,2))</f>
        <v/>
      </c>
      <c r="P7" s="6">
        <f>IF(O7="","",INDEX(Scale!$D$5:$D$9,MATCH(O7,Scale!$A$5:$A$9,1)))</f>
        <v/>
      </c>
    </row>
    <row r="8">
      <c r="A8" s="6" t="n">
        <v>4</v>
      </c>
      <c r="B8" s="7" t="inlineStr">
        <is>
          <t>Performance Efficiency</t>
        </is>
      </c>
      <c r="C8" s="7" t="inlineStr">
        <is>
          <t>Pages open quickly on the device I use.</t>
        </is>
      </c>
      <c r="D8" s="8" t="n"/>
      <c r="E8" s="8" t="n"/>
      <c r="F8" s="8" t="n"/>
      <c r="G8" s="8" t="n"/>
      <c r="H8" s="8" t="n"/>
      <c r="I8" s="6">
        <f>COUNT(D8:H8)</f>
        <v/>
      </c>
      <c r="J8" s="6">
        <f>COUNTIF(D8:H8,5)</f>
        <v/>
      </c>
      <c r="K8" s="6">
        <f>COUNTIF(D8:H8,4)</f>
        <v/>
      </c>
      <c r="L8" s="6">
        <f>COUNTIF(D8:H8,3)</f>
        <v/>
      </c>
      <c r="M8" s="6">
        <f>COUNTIF(D8:H8,2)</f>
        <v/>
      </c>
      <c r="N8" s="6">
        <f>COUNTIF(D8:H8,1)</f>
        <v/>
      </c>
      <c r="O8" s="11">
        <f>IF(I8=0,"",ROUND((5*J8+4*K8+3*L8+2*M8+1*N8)/I8,2))</f>
        <v/>
      </c>
      <c r="P8" s="6">
        <f>IF(O8="","",INDEX(Scale!$D$5:$D$9,MATCH(O8,Scale!$A$5:$A$9,1)))</f>
        <v/>
      </c>
    </row>
    <row r="9">
      <c r="A9" s="6" t="n">
        <v>5</v>
      </c>
      <c r="B9" s="7" t="inlineStr">
        <is>
          <t>Performance Efficiency</t>
        </is>
      </c>
      <c r="C9" s="7" t="inlineStr">
        <is>
          <t>Saving an event, a task, or a status change takes only a moment.</t>
        </is>
      </c>
      <c r="D9" s="8" t="n"/>
      <c r="E9" s="8" t="n"/>
      <c r="F9" s="8" t="n"/>
      <c r="G9" s="8" t="n"/>
      <c r="H9" s="8" t="n"/>
      <c r="I9" s="6">
        <f>COUNT(D9:H9)</f>
        <v/>
      </c>
      <c r="J9" s="6">
        <f>COUNTIF(D9:H9,5)</f>
        <v/>
      </c>
      <c r="K9" s="6">
        <f>COUNTIF(D9:H9,4)</f>
        <v/>
      </c>
      <c r="L9" s="6">
        <f>COUNTIF(D9:H9,3)</f>
        <v/>
      </c>
      <c r="M9" s="6">
        <f>COUNTIF(D9:H9,2)</f>
        <v/>
      </c>
      <c r="N9" s="6">
        <f>COUNTIF(D9:H9,1)</f>
        <v/>
      </c>
      <c r="O9" s="11">
        <f>IF(I9=0,"",ROUND((5*J9+4*K9+3*L9+2*M9+1*N9)/I9,2))</f>
        <v/>
      </c>
      <c r="P9" s="6">
        <f>IF(O9="","",INDEX(Scale!$D$5:$D$9,MATCH(O9,Scale!$A$5:$A$9,1)))</f>
        <v/>
      </c>
    </row>
    <row r="10">
      <c r="A10" s="6" t="n">
        <v>6</v>
      </c>
      <c r="B10" s="7" t="inlineStr">
        <is>
          <t>Performance Efficiency</t>
        </is>
      </c>
      <c r="C10" s="7" t="inlineStr">
        <is>
          <t>The system stays fast when other EMO members use it at the same time.</t>
        </is>
      </c>
      <c r="D10" s="8" t="n"/>
      <c r="E10" s="8" t="n"/>
      <c r="F10" s="8" t="n"/>
      <c r="G10" s="8" t="n"/>
      <c r="H10" s="8" t="n"/>
      <c r="I10" s="6">
        <f>COUNT(D10:H10)</f>
        <v/>
      </c>
      <c r="J10" s="6">
        <f>COUNTIF(D10:H10,5)</f>
        <v/>
      </c>
      <c r="K10" s="6">
        <f>COUNTIF(D10:H10,4)</f>
        <v/>
      </c>
      <c r="L10" s="6">
        <f>COUNTIF(D10:H10,3)</f>
        <v/>
      </c>
      <c r="M10" s="6">
        <f>COUNTIF(D10:H10,2)</f>
        <v/>
      </c>
      <c r="N10" s="6">
        <f>COUNTIF(D10:H10,1)</f>
        <v/>
      </c>
      <c r="O10" s="11">
        <f>IF(I10=0,"",ROUND((5*J10+4*K10+3*L10+2*M10+1*N10)/I10,2))</f>
        <v/>
      </c>
      <c r="P10" s="6">
        <f>IF(O10="","",INDEX(Scale!$D$5:$D$9,MATCH(O10,Scale!$A$5:$A$9,1)))</f>
        <v/>
      </c>
    </row>
    <row r="11">
      <c r="A11" s="6" t="n">
        <v>7</v>
      </c>
      <c r="B11" s="7" t="inlineStr">
        <is>
          <t>Compatibility</t>
        </is>
      </c>
      <c r="C11" s="7" t="inlineStr">
        <is>
          <t>The system works well while other applications are open on my device.</t>
        </is>
      </c>
      <c r="D11" s="8" t="n"/>
      <c r="E11" s="8" t="n"/>
      <c r="F11" s="8" t="n"/>
      <c r="G11" s="8" t="n"/>
      <c r="H11" s="8" t="n"/>
      <c r="I11" s="6">
        <f>COUNT(D11:H11)</f>
        <v/>
      </c>
      <c r="J11" s="6">
        <f>COUNTIF(D11:H11,5)</f>
        <v/>
      </c>
      <c r="K11" s="6">
        <f>COUNTIF(D11:H11,4)</f>
        <v/>
      </c>
      <c r="L11" s="6">
        <f>COUNTIF(D11:H11,3)</f>
        <v/>
      </c>
      <c r="M11" s="6">
        <f>COUNTIF(D11:H11,2)</f>
        <v/>
      </c>
      <c r="N11" s="6">
        <f>COUNTIF(D11:H11,1)</f>
        <v/>
      </c>
      <c r="O11" s="11">
        <f>IF(I11=0,"",ROUND((5*J11+4*K11+3*L11+2*M11+1*N11)/I11,2))</f>
        <v/>
      </c>
      <c r="P11" s="6">
        <f>IF(O11="","",INDEX(Scale!$D$5:$D$9,MATCH(O11,Scale!$A$5:$A$9,1)))</f>
        <v/>
      </c>
    </row>
    <row r="12">
      <c r="A12" s="6" t="n">
        <v>8</v>
      </c>
      <c r="B12" s="7" t="inlineStr">
        <is>
          <t>Compatibility</t>
        </is>
      </c>
      <c r="C12" s="7" t="inlineStr">
        <is>
          <t>The exported Excel or CSV file opens correctly in Excel or Google Sheets.</t>
        </is>
      </c>
      <c r="D12" s="8" t="n"/>
      <c r="E12" s="8" t="n"/>
      <c r="F12" s="8" t="n"/>
      <c r="G12" s="8" t="n"/>
      <c r="H12" s="8" t="n"/>
      <c r="I12" s="6">
        <f>COUNT(D12:H12)</f>
        <v/>
      </c>
      <c r="J12" s="6">
        <f>COUNTIF(D12:H12,5)</f>
        <v/>
      </c>
      <c r="K12" s="6">
        <f>COUNTIF(D12:H12,4)</f>
        <v/>
      </c>
      <c r="L12" s="6">
        <f>COUNTIF(D12:H12,3)</f>
        <v/>
      </c>
      <c r="M12" s="6">
        <f>COUNTIF(D12:H12,2)</f>
        <v/>
      </c>
      <c r="N12" s="6">
        <f>COUNTIF(D12:H12,1)</f>
        <v/>
      </c>
      <c r="O12" s="11">
        <f>IF(I12=0,"",ROUND((5*J12+4*K12+3*L12+2*M12+1*N12)/I12,2))</f>
        <v/>
      </c>
      <c r="P12" s="6">
        <f>IF(O12="","",INDEX(Scale!$D$5:$D$9,MATCH(O12,Scale!$A$5:$A$9,1)))</f>
        <v/>
      </c>
    </row>
    <row r="13">
      <c r="A13" s="6" t="n">
        <v>9</v>
      </c>
      <c r="B13" s="7" t="inlineStr">
        <is>
          <t>Compatibility</t>
        </is>
      </c>
      <c r="C13" s="7" t="inlineStr">
        <is>
          <t>The PDF event report opens and prints correctly.</t>
        </is>
      </c>
      <c r="D13" s="8" t="n"/>
      <c r="E13" s="8" t="n"/>
      <c r="F13" s="8" t="n"/>
      <c r="G13" s="8" t="n"/>
      <c r="H13" s="8" t="n"/>
      <c r="I13" s="6">
        <f>COUNT(D13:H13)</f>
        <v/>
      </c>
      <c r="J13" s="6">
        <f>COUNTIF(D13:H13,5)</f>
        <v/>
      </c>
      <c r="K13" s="6">
        <f>COUNTIF(D13:H13,4)</f>
        <v/>
      </c>
      <c r="L13" s="6">
        <f>COUNTIF(D13:H13,3)</f>
        <v/>
      </c>
      <c r="M13" s="6">
        <f>COUNTIF(D13:H13,2)</f>
        <v/>
      </c>
      <c r="N13" s="6">
        <f>COUNTIF(D13:H13,1)</f>
        <v/>
      </c>
      <c r="O13" s="11">
        <f>IF(I13=0,"",ROUND((5*J13+4*K13+3*L13+2*M13+1*N13)/I13,2))</f>
        <v/>
      </c>
      <c r="P13" s="6">
        <f>IF(O13="","",INDEX(Scale!$D$5:$D$9,MATCH(O13,Scale!$A$5:$A$9,1)))</f>
        <v/>
      </c>
    </row>
    <row r="14">
      <c r="A14" s="6" t="n">
        <v>10</v>
      </c>
      <c r="B14" s="7" t="inlineStr">
        <is>
          <t>Interaction Capability (Usability)</t>
        </is>
      </c>
      <c r="C14" s="7" t="inlineStr">
        <is>
          <t>When I first used the system, I could tell what each page is for.</t>
        </is>
      </c>
      <c r="D14" s="8" t="n"/>
      <c r="E14" s="8" t="n"/>
      <c r="F14" s="8" t="n"/>
      <c r="G14" s="8" t="n"/>
      <c r="H14" s="8" t="n"/>
      <c r="I14" s="6">
        <f>COUNT(D14:H14)</f>
        <v/>
      </c>
      <c r="J14" s="6">
        <f>COUNTIF(D14:H14,5)</f>
        <v/>
      </c>
      <c r="K14" s="6">
        <f>COUNTIF(D14:H14,4)</f>
        <v/>
      </c>
      <c r="L14" s="6">
        <f>COUNTIF(D14:H14,3)</f>
        <v/>
      </c>
      <c r="M14" s="6">
        <f>COUNTIF(D14:H14,2)</f>
        <v/>
      </c>
      <c r="N14" s="6">
        <f>COUNTIF(D14:H14,1)</f>
        <v/>
      </c>
      <c r="O14" s="11">
        <f>IF(I14=0,"",ROUND((5*J14+4*K14+3*L14+2*M14+1*N14)/I14,2))</f>
        <v/>
      </c>
      <c r="P14" s="6">
        <f>IF(O14="","",INDEX(Scale!$D$5:$D$9,MATCH(O14,Scale!$A$5:$A$9,1)))</f>
        <v/>
      </c>
    </row>
    <row r="15">
      <c r="A15" s="6" t="n">
        <v>11</v>
      </c>
      <c r="B15" s="7" t="inlineStr">
        <is>
          <t>Interaction Capability (Usability)</t>
        </is>
      </c>
      <c r="C15" s="7" t="inlineStr">
        <is>
          <t>I learned to use the system without needing much help.</t>
        </is>
      </c>
      <c r="D15" s="8" t="n"/>
      <c r="E15" s="8" t="n"/>
      <c r="F15" s="8" t="n"/>
      <c r="G15" s="8" t="n"/>
      <c r="H15" s="8" t="n"/>
      <c r="I15" s="6">
        <f>COUNT(D15:H15)</f>
        <v/>
      </c>
      <c r="J15" s="6">
        <f>COUNTIF(D15:H15,5)</f>
        <v/>
      </c>
      <c r="K15" s="6">
        <f>COUNTIF(D15:H15,4)</f>
        <v/>
      </c>
      <c r="L15" s="6">
        <f>COUNTIF(D15:H15,3)</f>
        <v/>
      </c>
      <c r="M15" s="6">
        <f>COUNTIF(D15:H15,2)</f>
        <v/>
      </c>
      <c r="N15" s="6">
        <f>COUNTIF(D15:H15,1)</f>
        <v/>
      </c>
      <c r="O15" s="11">
        <f>IF(I15=0,"",ROUND((5*J15+4*K15+3*L15+2*M15+1*N15)/I15,2))</f>
        <v/>
      </c>
      <c r="P15" s="6">
        <f>IF(O15="","",INDEX(Scale!$D$5:$D$9,MATCH(O15,Scale!$A$5:$A$9,1)))</f>
        <v/>
      </c>
    </row>
    <row r="16">
      <c r="A16" s="6" t="n">
        <v>12</v>
      </c>
      <c r="B16" s="7" t="inlineStr">
        <is>
          <t>Interaction Capability (Usability)</t>
        </is>
      </c>
      <c r="C16" s="7" t="inlineStr">
        <is>
          <t>The buttons, menus, and labels are clear and easy to use.</t>
        </is>
      </c>
      <c r="D16" s="8" t="n"/>
      <c r="E16" s="8" t="n"/>
      <c r="F16" s="8" t="n"/>
      <c r="G16" s="8" t="n"/>
      <c r="H16" s="8" t="n"/>
      <c r="I16" s="6">
        <f>COUNT(D16:H16)</f>
        <v/>
      </c>
      <c r="J16" s="6">
        <f>COUNTIF(D16:H16,5)</f>
        <v/>
      </c>
      <c r="K16" s="6">
        <f>COUNTIF(D16:H16,4)</f>
        <v/>
      </c>
      <c r="L16" s="6">
        <f>COUNTIF(D16:H16,3)</f>
        <v/>
      </c>
      <c r="M16" s="6">
        <f>COUNTIF(D16:H16,2)</f>
        <v/>
      </c>
      <c r="N16" s="6">
        <f>COUNTIF(D16:H16,1)</f>
        <v/>
      </c>
      <c r="O16" s="11">
        <f>IF(I16=0,"",ROUND((5*J16+4*K16+3*L16+2*M16+1*N16)/I16,2))</f>
        <v/>
      </c>
      <c r="P16" s="6">
        <f>IF(O16="","",INDEX(Scale!$D$5:$D$9,MATCH(O16,Scale!$A$5:$A$9,1)))</f>
        <v/>
      </c>
    </row>
    <row r="17">
      <c r="A17" s="6" t="n">
        <v>13</v>
      </c>
      <c r="B17" s="7" t="inlineStr">
        <is>
          <t>Interaction Capability (Usability)</t>
        </is>
      </c>
      <c r="C17" s="7" t="inlineStr">
        <is>
          <t>The system warns me or asks me to confirm before a mistake can happen, such as a double-booking or a deletion.</t>
        </is>
      </c>
      <c r="D17" s="8" t="n"/>
      <c r="E17" s="8" t="n"/>
      <c r="F17" s="8" t="n"/>
      <c r="G17" s="8" t="n"/>
      <c r="H17" s="8" t="n"/>
      <c r="I17" s="6">
        <f>COUNT(D17:H17)</f>
        <v/>
      </c>
      <c r="J17" s="6">
        <f>COUNTIF(D17:H17,5)</f>
        <v/>
      </c>
      <c r="K17" s="6">
        <f>COUNTIF(D17:H17,4)</f>
        <v/>
      </c>
      <c r="L17" s="6">
        <f>COUNTIF(D17:H17,3)</f>
        <v/>
      </c>
      <c r="M17" s="6">
        <f>COUNTIF(D17:H17,2)</f>
        <v/>
      </c>
      <c r="N17" s="6">
        <f>COUNTIF(D17:H17,1)</f>
        <v/>
      </c>
      <c r="O17" s="11">
        <f>IF(I17=0,"",ROUND((5*J17+4*K17+3*L17+2*M17+1*N17)/I17,2))</f>
        <v/>
      </c>
      <c r="P17" s="6">
        <f>IF(O17="","",INDEX(Scale!$D$5:$D$9,MATCH(O17,Scale!$A$5:$A$9,1)))</f>
        <v/>
      </c>
    </row>
    <row r="18">
      <c r="A18" s="6" t="n">
        <v>14</v>
      </c>
      <c r="B18" s="7" t="inlineStr">
        <is>
          <t>Reliability</t>
        </is>
      </c>
      <c r="C18" s="7" t="inlineStr">
        <is>
          <t>The system worked without errors while I used it.</t>
        </is>
      </c>
      <c r="D18" s="8" t="n"/>
      <c r="E18" s="8" t="n"/>
      <c r="F18" s="8" t="n"/>
      <c r="G18" s="8" t="n"/>
      <c r="H18" s="8" t="n"/>
      <c r="I18" s="6">
        <f>COUNT(D18:H18)</f>
        <v/>
      </c>
      <c r="J18" s="6">
        <f>COUNTIF(D18:H18,5)</f>
        <v/>
      </c>
      <c r="K18" s="6">
        <f>COUNTIF(D18:H18,4)</f>
        <v/>
      </c>
      <c r="L18" s="6">
        <f>COUNTIF(D18:H18,3)</f>
        <v/>
      </c>
      <c r="M18" s="6">
        <f>COUNTIF(D18:H18,2)</f>
        <v/>
      </c>
      <c r="N18" s="6">
        <f>COUNTIF(D18:H18,1)</f>
        <v/>
      </c>
      <c r="O18" s="11">
        <f>IF(I18=0,"",ROUND((5*J18+4*K18+3*L18+2*M18+1*N18)/I18,2))</f>
        <v/>
      </c>
      <c r="P18" s="6">
        <f>IF(O18="","",INDEX(Scale!$D$5:$D$9,MATCH(O18,Scale!$A$5:$A$9,1)))</f>
        <v/>
      </c>
    </row>
    <row r="19">
      <c r="A19" s="6" t="n">
        <v>15</v>
      </c>
      <c r="B19" s="7" t="inlineStr">
        <is>
          <t>Reliability</t>
        </is>
      </c>
      <c r="C19" s="7" t="inlineStr">
        <is>
          <t>The system was available whenever I needed it.</t>
        </is>
      </c>
      <c r="D19" s="8" t="n"/>
      <c r="E19" s="8" t="n"/>
      <c r="F19" s="8" t="n"/>
      <c r="G19" s="8" t="n"/>
      <c r="H19" s="8" t="n"/>
      <c r="I19" s="6">
        <f>COUNT(D19:H19)</f>
        <v/>
      </c>
      <c r="J19" s="6">
        <f>COUNTIF(D19:H19,5)</f>
        <v/>
      </c>
      <c r="K19" s="6">
        <f>COUNTIF(D19:H19,4)</f>
        <v/>
      </c>
      <c r="L19" s="6">
        <f>COUNTIF(D19:H19,3)</f>
        <v/>
      </c>
      <c r="M19" s="6">
        <f>COUNTIF(D19:H19,2)</f>
        <v/>
      </c>
      <c r="N19" s="6">
        <f>COUNTIF(D19:H19,1)</f>
        <v/>
      </c>
      <c r="O19" s="11">
        <f>IF(I19=0,"",ROUND((5*J19+4*K19+3*L19+2*M19+1*N19)/I19,2))</f>
        <v/>
      </c>
      <c r="P19" s="6">
        <f>IF(O19="","",INDEX(Scale!$D$5:$D$9,MATCH(O19,Scale!$A$5:$A$9,1)))</f>
        <v/>
      </c>
    </row>
    <row r="20">
      <c r="A20" s="6" t="n">
        <v>16</v>
      </c>
      <c r="B20" s="7" t="inlineStr">
        <is>
          <t>Reliability</t>
        </is>
      </c>
      <c r="C20" s="7" t="inlineStr">
        <is>
          <t>When a problem happened, the system showed a clear message and let me try again.</t>
        </is>
      </c>
      <c r="D20" s="8" t="n"/>
      <c r="E20" s="8" t="n"/>
      <c r="F20" s="8" t="n"/>
      <c r="G20" s="8" t="n"/>
      <c r="H20" s="8" t="n"/>
      <c r="I20" s="6">
        <f>COUNT(D20:H20)</f>
        <v/>
      </c>
      <c r="J20" s="6">
        <f>COUNTIF(D20:H20,5)</f>
        <v/>
      </c>
      <c r="K20" s="6">
        <f>COUNTIF(D20:H20,4)</f>
        <v/>
      </c>
      <c r="L20" s="6">
        <f>COUNTIF(D20:H20,3)</f>
        <v/>
      </c>
      <c r="M20" s="6">
        <f>COUNTIF(D20:H20,2)</f>
        <v/>
      </c>
      <c r="N20" s="6">
        <f>COUNTIF(D20:H20,1)</f>
        <v/>
      </c>
      <c r="O20" s="11">
        <f>IF(I20=0,"",ROUND((5*J20+4*K20+3*L20+2*M20+1*N20)/I20,2))</f>
        <v/>
      </c>
      <c r="P20" s="6">
        <f>IF(O20="","",INDEX(Scale!$D$5:$D$9,MATCH(O20,Scale!$A$5:$A$9,1)))</f>
        <v/>
      </c>
    </row>
    <row r="21">
      <c r="A21" s="6" t="n">
        <v>17</v>
      </c>
      <c r="B21" s="7" t="inlineStr">
        <is>
          <t>Security</t>
        </is>
      </c>
      <c r="C21" s="7" t="inlineStr">
        <is>
          <t>Only people with an EMO Tracker account can log in and see the EMO's records.</t>
        </is>
      </c>
      <c r="D21" s="8" t="n"/>
      <c r="E21" s="8" t="n"/>
      <c r="F21" s="8" t="n"/>
      <c r="G21" s="8" t="n"/>
      <c r="H21" s="8" t="n"/>
      <c r="I21" s="6">
        <f>COUNT(D21:H21)</f>
        <v/>
      </c>
      <c r="J21" s="6">
        <f>COUNTIF(D21:H21,5)</f>
        <v/>
      </c>
      <c r="K21" s="6">
        <f>COUNTIF(D21:H21,4)</f>
        <v/>
      </c>
      <c r="L21" s="6">
        <f>COUNTIF(D21:H21,3)</f>
        <v/>
      </c>
      <c r="M21" s="6">
        <f>COUNTIF(D21:H21,2)</f>
        <v/>
      </c>
      <c r="N21" s="6">
        <f>COUNTIF(D21:H21,1)</f>
        <v/>
      </c>
      <c r="O21" s="11">
        <f>IF(I21=0,"",ROUND((5*J21+4*K21+3*L21+2*M21+1*N21)/I21,2))</f>
        <v/>
      </c>
      <c r="P21" s="6">
        <f>IF(O21="","",INDEX(Scale!$D$5:$D$9,MATCH(O21,Scale!$A$5:$A$9,1)))</f>
        <v/>
      </c>
    </row>
    <row r="22">
      <c r="A22" s="6" t="n">
        <v>18</v>
      </c>
      <c r="B22" s="7" t="inlineStr">
        <is>
          <t>Security</t>
        </is>
      </c>
      <c r="C22" s="7" t="inlineStr">
        <is>
          <t>Each role can do only what it is allowed to do.</t>
        </is>
      </c>
      <c r="D22" s="8" t="n"/>
      <c r="E22" s="8" t="n"/>
      <c r="F22" s="8" t="n"/>
      <c r="G22" s="8" t="n"/>
      <c r="H22" s="8" t="n"/>
      <c r="I22" s="6">
        <f>COUNT(D22:H22)</f>
        <v/>
      </c>
      <c r="J22" s="6">
        <f>COUNTIF(D22:H22,5)</f>
        <v/>
      </c>
      <c r="K22" s="6">
        <f>COUNTIF(D22:H22,4)</f>
        <v/>
      </c>
      <c r="L22" s="6">
        <f>COUNTIF(D22:H22,3)</f>
        <v/>
      </c>
      <c r="M22" s="6">
        <f>COUNTIF(D22:H22,2)</f>
        <v/>
      </c>
      <c r="N22" s="6">
        <f>COUNTIF(D22:H22,1)</f>
        <v/>
      </c>
      <c r="O22" s="11">
        <f>IF(I22=0,"",ROUND((5*J22+4*K22+3*L22+2*M22+1*N22)/I22,2))</f>
        <v/>
      </c>
      <c r="P22" s="6">
        <f>IF(O22="","",INDEX(Scale!$D$5:$D$9,MATCH(O22,Scale!$A$5:$A$9,1)))</f>
        <v/>
      </c>
    </row>
    <row r="23">
      <c r="A23" s="6" t="n">
        <v>19</v>
      </c>
      <c r="B23" s="7" t="inlineStr">
        <is>
          <t>Security</t>
        </is>
      </c>
      <c r="C23" s="7" t="inlineStr">
        <is>
          <t>The records of completed events are protected from accidental changes.</t>
        </is>
      </c>
      <c r="D23" s="8" t="n"/>
      <c r="E23" s="8" t="n"/>
      <c r="F23" s="8" t="n"/>
      <c r="G23" s="8" t="n"/>
      <c r="H23" s="8" t="n"/>
      <c r="I23" s="6">
        <f>COUNT(D23:H23)</f>
        <v/>
      </c>
      <c r="J23" s="6">
        <f>COUNTIF(D23:H23,5)</f>
        <v/>
      </c>
      <c r="K23" s="6">
        <f>COUNTIF(D23:H23,4)</f>
        <v/>
      </c>
      <c r="L23" s="6">
        <f>COUNTIF(D23:H23,3)</f>
        <v/>
      </c>
      <c r="M23" s="6">
        <f>COUNTIF(D23:H23,2)</f>
        <v/>
      </c>
      <c r="N23" s="6">
        <f>COUNTIF(D23:H23,1)</f>
        <v/>
      </c>
      <c r="O23" s="11">
        <f>IF(I23=0,"",ROUND((5*J23+4*K23+3*L23+2*M23+1*N23)/I23,2))</f>
        <v/>
      </c>
      <c r="P23" s="6">
        <f>IF(O23="","",INDEX(Scale!$D$5:$D$9,MATCH(O23,Scale!$A$5:$A$9,1)))</f>
        <v/>
      </c>
    </row>
    <row r="24">
      <c r="A24" s="6" t="n">
        <v>20</v>
      </c>
      <c r="B24" s="7" t="inlineStr">
        <is>
          <t>Flexibility</t>
        </is>
      </c>
      <c r="C24" s="7" t="inlineStr">
        <is>
          <t>The system is easy to use on both a phone and a laptop.</t>
        </is>
      </c>
      <c r="D24" s="8" t="n"/>
      <c r="E24" s="8" t="n"/>
      <c r="F24" s="8" t="n"/>
      <c r="G24" s="8" t="n"/>
      <c r="H24" s="8" t="n"/>
      <c r="I24" s="6">
        <f>COUNT(D24:H24)</f>
        <v/>
      </c>
      <c r="J24" s="6">
        <f>COUNTIF(D24:H24,5)</f>
        <v/>
      </c>
      <c r="K24" s="6">
        <f>COUNTIF(D24:H24,4)</f>
        <v/>
      </c>
      <c r="L24" s="6">
        <f>COUNTIF(D24:H24,3)</f>
        <v/>
      </c>
      <c r="M24" s="6">
        <f>COUNTIF(D24:H24,2)</f>
        <v/>
      </c>
      <c r="N24" s="6">
        <f>COUNTIF(D24:H24,1)</f>
        <v/>
      </c>
      <c r="O24" s="11">
        <f>IF(I24=0,"",ROUND((5*J24+4*K24+3*L24+2*M24+1*N24)/I24,2))</f>
        <v/>
      </c>
      <c r="P24" s="6">
        <f>IF(O24="","",INDEX(Scale!$D$5:$D$9,MATCH(O24,Scale!$A$5:$A$9,1)))</f>
        <v/>
      </c>
    </row>
    <row r="25">
      <c r="A25" s="6" t="n">
        <v>21</v>
      </c>
      <c r="B25" s="7" t="inlineStr">
        <is>
          <t>Flexibility</t>
        </is>
      </c>
      <c r="C25" s="7" t="inlineStr">
        <is>
          <t>The system works in the web browser I normally use.</t>
        </is>
      </c>
      <c r="D25" s="8" t="n"/>
      <c r="E25" s="8" t="n"/>
      <c r="F25" s="8" t="n"/>
      <c r="G25" s="8" t="n"/>
      <c r="H25" s="8" t="n"/>
      <c r="I25" s="6">
        <f>COUNT(D25:H25)</f>
        <v/>
      </c>
      <c r="J25" s="6">
        <f>COUNTIF(D25:H25,5)</f>
        <v/>
      </c>
      <c r="K25" s="6">
        <f>COUNTIF(D25:H25,4)</f>
        <v/>
      </c>
      <c r="L25" s="6">
        <f>COUNTIF(D25:H25,3)</f>
        <v/>
      </c>
      <c r="M25" s="6">
        <f>COUNTIF(D25:H25,2)</f>
        <v/>
      </c>
      <c r="N25" s="6">
        <f>COUNTIF(D25:H25,1)</f>
        <v/>
      </c>
      <c r="O25" s="11">
        <f>IF(I25=0,"",ROUND((5*J25+4*K25+3*L25+2*M25+1*N25)/I25,2))</f>
        <v/>
      </c>
      <c r="P25" s="6">
        <f>IF(O25="","",INDEX(Scale!$D$5:$D$9,MATCH(O25,Scale!$A$5:$A$9,1)))</f>
        <v/>
      </c>
    </row>
    <row r="26">
      <c r="A26" s="6" t="n">
        <v>22</v>
      </c>
      <c r="B26" s="7" t="inlineStr">
        <is>
          <t>Flexibility</t>
        </is>
      </c>
      <c r="C26" s="7" t="inlineStr">
        <is>
          <t>I can use the system on different devices without installing anything.</t>
        </is>
      </c>
      <c r="D26" s="8" t="n"/>
      <c r="E26" s="8" t="n"/>
      <c r="F26" s="8" t="n"/>
      <c r="G26" s="8" t="n"/>
      <c r="H26" s="8" t="n"/>
      <c r="I26" s="6">
        <f>COUNT(D26:H26)</f>
        <v/>
      </c>
      <c r="J26" s="6">
        <f>COUNTIF(D26:H26,5)</f>
        <v/>
      </c>
      <c r="K26" s="6">
        <f>COUNTIF(D26:H26,4)</f>
        <v/>
      </c>
      <c r="L26" s="6">
        <f>COUNTIF(D26:H26,3)</f>
        <v/>
      </c>
      <c r="M26" s="6">
        <f>COUNTIF(D26:H26,2)</f>
        <v/>
      </c>
      <c r="N26" s="6">
        <f>COUNTIF(D26:H26,1)</f>
        <v/>
      </c>
      <c r="O26" s="11">
        <f>IF(I26=0,"",ROUND((5*J26+4*K26+3*L26+2*M26+1*N26)/I26,2))</f>
        <v/>
      </c>
      <c r="P26" s="6">
        <f>IF(O26="","",INDEX(Scale!$D$5:$D$9,MATCH(O26,Scale!$A$5:$A$9,1)))</f>
        <v/>
      </c>
    </row>
    <row r="28">
      <c r="A28" s="4" t="inlineStr">
        <is>
          <t>Weighted mean = (5 x f5 + 4 x f4 + 3 x f3 + 2 x f2 + 1 x f1) / n, where f is how many respondents gave that rating and n is how many answered.</t>
        </is>
      </c>
    </row>
  </sheetData>
  <dataValidations count="1">
    <dataValidation sqref="D5:H26" showDropDown="0" showInputMessage="0" showErrorMessage="1" allowBlank="1" errorTitle="Rating 1 to 5" error="Type a whole number from 1 to 5." type="whole" operator="between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70" customWidth="1" min="1" max="1"/>
    <col width="9" customWidth="1" min="2" max="2"/>
    <col width="14" customWidth="1" min="3" max="3"/>
    <col width="32" customWidth="1" min="5" max="5"/>
  </cols>
  <sheetData>
    <row r="1">
      <c r="A1" s="1" t="inlineStr">
        <is>
          <t>Table 4.7 (draft): ISO/IEC 25010 evaluation results</t>
        </is>
      </c>
    </row>
    <row r="2">
      <c r="A2" s="4" t="inlineStr">
        <is>
          <t>Fills itself from the ISO ratings sheet. Copy the table into the paper; don't type in this sheet.</t>
        </is>
      </c>
    </row>
    <row r="4">
      <c r="A4" s="12" t="inlineStr">
        <is>
          <t>Characteristic and statements</t>
        </is>
      </c>
      <c r="B4" s="12" t="inlineStr">
        <is>
          <t>Mean</t>
        </is>
      </c>
      <c r="C4" s="12" t="inlineStr">
        <is>
          <t>Interpretation</t>
        </is>
      </c>
    </row>
    <row r="5">
      <c r="A5" s="20" t="inlineStr">
        <is>
          <t>Functional Suitability</t>
        </is>
      </c>
      <c r="B5" s="21">
        <f>IFERROR(ROUND(AVERAGE('ISO ratings'!O5:O7),2),"")</f>
        <v/>
      </c>
      <c r="C5" s="22">
        <f>IF(B5="","",INDEX(Scale!$D$5:$D$9,MATCH(B5,Scale!$A$5:$A$9,1)))</f>
        <v/>
      </c>
    </row>
    <row r="6">
      <c r="A6" s="7">
        <f>'ISO ratings'!A5&amp;". "&amp;'ISO ratings'!C5</f>
        <v/>
      </c>
      <c r="B6" s="11">
        <f>'ISO ratings'!O5</f>
        <v/>
      </c>
      <c r="C6" s="6">
        <f>'ISO ratings'!P5</f>
        <v/>
      </c>
    </row>
    <row r="7">
      <c r="A7" s="7">
        <f>'ISO ratings'!A6&amp;". "&amp;'ISO ratings'!C6</f>
        <v/>
      </c>
      <c r="B7" s="11">
        <f>'ISO ratings'!O6</f>
        <v/>
      </c>
      <c r="C7" s="6">
        <f>'ISO ratings'!P6</f>
        <v/>
      </c>
    </row>
    <row r="8">
      <c r="A8" s="7">
        <f>'ISO ratings'!A7&amp;". "&amp;'ISO ratings'!C7</f>
        <v/>
      </c>
      <c r="B8" s="11">
        <f>'ISO ratings'!O7</f>
        <v/>
      </c>
      <c r="C8" s="6">
        <f>'ISO ratings'!P7</f>
        <v/>
      </c>
    </row>
    <row r="9">
      <c r="A9" s="20" t="inlineStr">
        <is>
          <t>Performance Efficiency</t>
        </is>
      </c>
      <c r="B9" s="21">
        <f>IFERROR(ROUND(AVERAGE('ISO ratings'!O8:O10),2),"")</f>
        <v/>
      </c>
      <c r="C9" s="22">
        <f>IF(B9="","",INDEX(Scale!$D$5:$D$9,MATCH(B9,Scale!$A$5:$A$9,1)))</f>
        <v/>
      </c>
    </row>
    <row r="10">
      <c r="A10" s="7">
        <f>'ISO ratings'!A8&amp;". "&amp;'ISO ratings'!C8</f>
        <v/>
      </c>
      <c r="B10" s="11">
        <f>'ISO ratings'!O8</f>
        <v/>
      </c>
      <c r="C10" s="6">
        <f>'ISO ratings'!P8</f>
        <v/>
      </c>
    </row>
    <row r="11">
      <c r="A11" s="7">
        <f>'ISO ratings'!A9&amp;". "&amp;'ISO ratings'!C9</f>
        <v/>
      </c>
      <c r="B11" s="11">
        <f>'ISO ratings'!O9</f>
        <v/>
      </c>
      <c r="C11" s="6">
        <f>'ISO ratings'!P9</f>
        <v/>
      </c>
    </row>
    <row r="12">
      <c r="A12" s="7">
        <f>'ISO ratings'!A10&amp;". "&amp;'ISO ratings'!C10</f>
        <v/>
      </c>
      <c r="B12" s="11">
        <f>'ISO ratings'!O10</f>
        <v/>
      </c>
      <c r="C12" s="6">
        <f>'ISO ratings'!P10</f>
        <v/>
      </c>
    </row>
    <row r="13">
      <c r="A13" s="20" t="inlineStr">
        <is>
          <t>Compatibility</t>
        </is>
      </c>
      <c r="B13" s="21">
        <f>IFERROR(ROUND(AVERAGE('ISO ratings'!O11:O13),2),"")</f>
        <v/>
      </c>
      <c r="C13" s="22">
        <f>IF(B13="","",INDEX(Scale!$D$5:$D$9,MATCH(B13,Scale!$A$5:$A$9,1)))</f>
        <v/>
      </c>
    </row>
    <row r="14">
      <c r="A14" s="7">
        <f>'ISO ratings'!A11&amp;". "&amp;'ISO ratings'!C11</f>
        <v/>
      </c>
      <c r="B14" s="11">
        <f>'ISO ratings'!O11</f>
        <v/>
      </c>
      <c r="C14" s="6">
        <f>'ISO ratings'!P11</f>
        <v/>
      </c>
    </row>
    <row r="15">
      <c r="A15" s="7">
        <f>'ISO ratings'!A12&amp;". "&amp;'ISO ratings'!C12</f>
        <v/>
      </c>
      <c r="B15" s="11">
        <f>'ISO ratings'!O12</f>
        <v/>
      </c>
      <c r="C15" s="6">
        <f>'ISO ratings'!P12</f>
        <v/>
      </c>
    </row>
    <row r="16">
      <c r="A16" s="7">
        <f>'ISO ratings'!A13&amp;". "&amp;'ISO ratings'!C13</f>
        <v/>
      </c>
      <c r="B16" s="11">
        <f>'ISO ratings'!O13</f>
        <v/>
      </c>
      <c r="C16" s="6">
        <f>'ISO ratings'!P13</f>
        <v/>
      </c>
    </row>
    <row r="17">
      <c r="A17" s="20" t="inlineStr">
        <is>
          <t>Interaction Capability (Usability)</t>
        </is>
      </c>
      <c r="B17" s="21">
        <f>IFERROR(ROUND(AVERAGE('ISO ratings'!O14:O17),2),"")</f>
        <v/>
      </c>
      <c r="C17" s="22">
        <f>IF(B17="","",INDEX(Scale!$D$5:$D$9,MATCH(B17,Scale!$A$5:$A$9,1)))</f>
        <v/>
      </c>
    </row>
    <row r="18">
      <c r="A18" s="7">
        <f>'ISO ratings'!A14&amp;". "&amp;'ISO ratings'!C14</f>
        <v/>
      </c>
      <c r="B18" s="11">
        <f>'ISO ratings'!O14</f>
        <v/>
      </c>
      <c r="C18" s="6">
        <f>'ISO ratings'!P14</f>
        <v/>
      </c>
    </row>
    <row r="19">
      <c r="A19" s="7">
        <f>'ISO ratings'!A15&amp;". "&amp;'ISO ratings'!C15</f>
        <v/>
      </c>
      <c r="B19" s="11">
        <f>'ISO ratings'!O15</f>
        <v/>
      </c>
      <c r="C19" s="6">
        <f>'ISO ratings'!P15</f>
        <v/>
      </c>
    </row>
    <row r="20">
      <c r="A20" s="7">
        <f>'ISO ratings'!A16&amp;". "&amp;'ISO ratings'!C16</f>
        <v/>
      </c>
      <c r="B20" s="11">
        <f>'ISO ratings'!O16</f>
        <v/>
      </c>
      <c r="C20" s="6">
        <f>'ISO ratings'!P16</f>
        <v/>
      </c>
    </row>
    <row r="21">
      <c r="A21" s="7">
        <f>'ISO ratings'!A17&amp;". "&amp;'ISO ratings'!C17</f>
        <v/>
      </c>
      <c r="B21" s="11">
        <f>'ISO ratings'!O17</f>
        <v/>
      </c>
      <c r="C21" s="6">
        <f>'ISO ratings'!P17</f>
        <v/>
      </c>
    </row>
    <row r="22">
      <c r="A22" s="20" t="inlineStr">
        <is>
          <t>Reliability</t>
        </is>
      </c>
      <c r="B22" s="21">
        <f>IFERROR(ROUND(AVERAGE('ISO ratings'!O18:O20),2),"")</f>
        <v/>
      </c>
      <c r="C22" s="22">
        <f>IF(B22="","",INDEX(Scale!$D$5:$D$9,MATCH(B22,Scale!$A$5:$A$9,1)))</f>
        <v/>
      </c>
    </row>
    <row r="23">
      <c r="A23" s="7">
        <f>'ISO ratings'!A18&amp;". "&amp;'ISO ratings'!C18</f>
        <v/>
      </c>
      <c r="B23" s="11">
        <f>'ISO ratings'!O18</f>
        <v/>
      </c>
      <c r="C23" s="6">
        <f>'ISO ratings'!P18</f>
        <v/>
      </c>
    </row>
    <row r="24">
      <c r="A24" s="7">
        <f>'ISO ratings'!A19&amp;". "&amp;'ISO ratings'!C19</f>
        <v/>
      </c>
      <c r="B24" s="11">
        <f>'ISO ratings'!O19</f>
        <v/>
      </c>
      <c r="C24" s="6">
        <f>'ISO ratings'!P19</f>
        <v/>
      </c>
    </row>
    <row r="25">
      <c r="A25" s="7">
        <f>'ISO ratings'!A20&amp;". "&amp;'ISO ratings'!C20</f>
        <v/>
      </c>
      <c r="B25" s="11">
        <f>'ISO ratings'!O20</f>
        <v/>
      </c>
      <c r="C25" s="6">
        <f>'ISO ratings'!P20</f>
        <v/>
      </c>
    </row>
    <row r="26">
      <c r="A26" s="20" t="inlineStr">
        <is>
          <t>Security</t>
        </is>
      </c>
      <c r="B26" s="21">
        <f>IFERROR(ROUND(AVERAGE('ISO ratings'!O21:O23),2),"")</f>
        <v/>
      </c>
      <c r="C26" s="22">
        <f>IF(B26="","",INDEX(Scale!$D$5:$D$9,MATCH(B26,Scale!$A$5:$A$9,1)))</f>
        <v/>
      </c>
    </row>
    <row r="27">
      <c r="A27" s="7">
        <f>'ISO ratings'!A21&amp;". "&amp;'ISO ratings'!C21</f>
        <v/>
      </c>
      <c r="B27" s="11">
        <f>'ISO ratings'!O21</f>
        <v/>
      </c>
      <c r="C27" s="6">
        <f>'ISO ratings'!P21</f>
        <v/>
      </c>
    </row>
    <row r="28">
      <c r="A28" s="7">
        <f>'ISO ratings'!A22&amp;". "&amp;'ISO ratings'!C22</f>
        <v/>
      </c>
      <c r="B28" s="11">
        <f>'ISO ratings'!O22</f>
        <v/>
      </c>
      <c r="C28" s="6">
        <f>'ISO ratings'!P22</f>
        <v/>
      </c>
    </row>
    <row r="29">
      <c r="A29" s="7">
        <f>'ISO ratings'!A23&amp;". "&amp;'ISO ratings'!C23</f>
        <v/>
      </c>
      <c r="B29" s="11">
        <f>'ISO ratings'!O23</f>
        <v/>
      </c>
      <c r="C29" s="6">
        <f>'ISO ratings'!P23</f>
        <v/>
      </c>
    </row>
    <row r="30">
      <c r="A30" s="20" t="inlineStr">
        <is>
          <t>Flexibility</t>
        </is>
      </c>
      <c r="B30" s="21">
        <f>IFERROR(ROUND(AVERAGE('ISO ratings'!O24:O26),2),"")</f>
        <v/>
      </c>
      <c r="C30" s="22">
        <f>IF(B30="","",INDEX(Scale!$D$5:$D$9,MATCH(B30,Scale!$A$5:$A$9,1)))</f>
        <v/>
      </c>
    </row>
    <row r="31">
      <c r="A31" s="7">
        <f>'ISO ratings'!A24&amp;". "&amp;'ISO ratings'!C24</f>
        <v/>
      </c>
      <c r="B31" s="11">
        <f>'ISO ratings'!O24</f>
        <v/>
      </c>
      <c r="C31" s="6">
        <f>'ISO ratings'!P24</f>
        <v/>
      </c>
    </row>
    <row r="32">
      <c r="A32" s="7">
        <f>'ISO ratings'!A25&amp;". "&amp;'ISO ratings'!C25</f>
        <v/>
      </c>
      <c r="B32" s="11">
        <f>'ISO ratings'!O25</f>
        <v/>
      </c>
      <c r="C32" s="6">
        <f>'ISO ratings'!P25</f>
        <v/>
      </c>
    </row>
    <row r="33">
      <c r="A33" s="7">
        <f>'ISO ratings'!A26&amp;". "&amp;'ISO ratings'!C26</f>
        <v/>
      </c>
      <c r="B33" s="11">
        <f>'ISO ratings'!O26</f>
        <v/>
      </c>
      <c r="C33" s="6">
        <f>'ISO ratings'!P26</f>
        <v/>
      </c>
    </row>
    <row r="34">
      <c r="A34" s="12" t="inlineStr">
        <is>
          <t>Overall mean</t>
        </is>
      </c>
      <c r="B34" s="14">
        <f>IFERROR(ROUND(AVERAGE(B5,B9,B13,B17,B22,B26,B30),2),"")</f>
        <v/>
      </c>
      <c r="C34" s="13">
        <f>IF(B34="","",INDEX(Scale!$D$5:$D$9,MATCH(B34,Scale!$A$5:$A$9,1)))</f>
        <v/>
      </c>
    </row>
    <row r="36">
      <c r="A36" s="4" t="inlineStr">
        <is>
          <t>A characteristic's mean is the average of its statements' means. The overall mean is the average of the seven characteristic means.</t>
        </is>
      </c>
    </row>
    <row r="39">
      <c r="E39" s="12" t="inlineStr">
        <is>
          <t>Chart data</t>
        </is>
      </c>
      <c r="F39" s="12" t="inlineStr">
        <is>
          <t>Mean</t>
        </is>
      </c>
    </row>
    <row r="40">
      <c r="E40" s="10" t="inlineStr">
        <is>
          <t>Functional Suitability</t>
        </is>
      </c>
      <c r="F40" s="23">
        <f>B5</f>
        <v/>
      </c>
    </row>
    <row r="41">
      <c r="E41" s="10" t="inlineStr">
        <is>
          <t>Performance Efficiency</t>
        </is>
      </c>
      <c r="F41" s="23">
        <f>B9</f>
        <v/>
      </c>
    </row>
    <row r="42">
      <c r="E42" s="10" t="inlineStr">
        <is>
          <t>Compatibility</t>
        </is>
      </c>
      <c r="F42" s="23">
        <f>B13</f>
        <v/>
      </c>
    </row>
    <row r="43">
      <c r="E43" s="10" t="inlineStr">
        <is>
          <t>Interaction Capability (Usability)</t>
        </is>
      </c>
      <c r="F43" s="23">
        <f>B17</f>
        <v/>
      </c>
    </row>
    <row r="44">
      <c r="E44" s="10" t="inlineStr">
        <is>
          <t>Reliability</t>
        </is>
      </c>
      <c r="F44" s="23">
        <f>B22</f>
        <v/>
      </c>
    </row>
    <row r="45">
      <c r="E45" s="10" t="inlineStr">
        <is>
          <t>Security</t>
        </is>
      </c>
      <c r="F45" s="23">
        <f>B26</f>
        <v/>
      </c>
    </row>
    <row r="46">
      <c r="E46" s="10" t="inlineStr">
        <is>
          <t>Flexibility</t>
        </is>
      </c>
      <c r="F46" s="23">
        <f>B30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9" customWidth="1" min="4" max="4"/>
    <col width="9" customWidth="1" min="5" max="5"/>
    <col width="10" customWidth="1" min="6" max="6"/>
  </cols>
  <sheetData>
    <row r="1">
      <c r="A1" s="1" t="inlineStr">
        <is>
          <t>Respondent profile (Part I of the ISO/IEC 25010 questionnaire)</t>
        </is>
      </c>
    </row>
    <row r="2">
      <c r="A2" s="4" t="inlineStr">
        <is>
          <t>One row per respondent. Type x for each device the respondent checked.</t>
        </is>
      </c>
    </row>
    <row r="4">
      <c r="A4" s="5" t="inlineStr">
        <is>
          <t>Respondent No.</t>
        </is>
      </c>
      <c r="B4" s="5" t="inlineStr">
        <is>
          <t>Role</t>
        </is>
      </c>
      <c r="C4" s="5" t="inlineStr">
        <is>
          <t>Laptop or computer</t>
        </is>
      </c>
      <c r="D4" s="5" t="inlineStr">
        <is>
          <t>Phone</t>
        </is>
      </c>
      <c r="E4" s="5" t="inlineStr">
        <is>
          <t>Tablet</t>
        </is>
      </c>
      <c r="F4" s="5" t="inlineStr">
        <is>
          <t>Days used</t>
        </is>
      </c>
    </row>
    <row r="5">
      <c r="A5" s="6" t="n">
        <v>1</v>
      </c>
      <c r="B5" s="8" t="n"/>
      <c r="C5" s="8" t="n"/>
      <c r="D5" s="8" t="n"/>
      <c r="E5" s="8" t="n"/>
      <c r="F5" s="8" t="n"/>
    </row>
    <row r="6">
      <c r="A6" s="6" t="n">
        <v>2</v>
      </c>
      <c r="B6" s="8" t="n"/>
      <c r="C6" s="8" t="n"/>
      <c r="D6" s="8" t="n"/>
      <c r="E6" s="8" t="n"/>
      <c r="F6" s="8" t="n"/>
    </row>
    <row r="7">
      <c r="A7" s="6" t="n">
        <v>3</v>
      </c>
      <c r="B7" s="8" t="n"/>
      <c r="C7" s="8" t="n"/>
      <c r="D7" s="8" t="n"/>
      <c r="E7" s="8" t="n"/>
      <c r="F7" s="8" t="n"/>
    </row>
    <row r="8">
      <c r="A8" s="6" t="n">
        <v>4</v>
      </c>
      <c r="B8" s="8" t="n"/>
      <c r="C8" s="8" t="n"/>
      <c r="D8" s="8" t="n"/>
      <c r="E8" s="8" t="n"/>
      <c r="F8" s="8" t="n"/>
    </row>
    <row r="9">
      <c r="A9" s="6" t="n">
        <v>5</v>
      </c>
      <c r="B9" s="8" t="n"/>
      <c r="C9" s="8" t="n"/>
      <c r="D9" s="8" t="n"/>
      <c r="E9" s="8" t="n"/>
      <c r="F9" s="8" t="n"/>
    </row>
    <row r="11">
      <c r="A11" s="12" t="inlineStr">
        <is>
          <t>Role</t>
        </is>
      </c>
      <c r="B11" s="12" t="inlineStr">
        <is>
          <t>Frequency</t>
        </is>
      </c>
      <c r="C11" s="12" t="inlineStr">
        <is>
          <t>Percentage</t>
        </is>
      </c>
    </row>
    <row r="12">
      <c r="A12" s="10" t="inlineStr">
        <is>
          <t>Administrator</t>
        </is>
      </c>
      <c r="B12" s="6">
        <f>COUNTIF($B$5:$B$9,A12)</f>
        <v/>
      </c>
      <c r="C12" s="24">
        <f>IF($B$15=0,"",B12/$B$15)</f>
        <v/>
      </c>
    </row>
    <row r="13">
      <c r="A13" s="10" t="inlineStr">
        <is>
          <t>Officer</t>
        </is>
      </c>
      <c r="B13" s="6">
        <f>COUNTIF($B$5:$B$9,A13)</f>
        <v/>
      </c>
      <c r="C13" s="24">
        <f>IF($B$15=0,"",B13/$B$15)</f>
        <v/>
      </c>
    </row>
    <row r="14">
      <c r="A14" s="10" t="inlineStr">
        <is>
          <t>Staff</t>
        </is>
      </c>
      <c r="B14" s="6">
        <f>COUNTIF($B$5:$B$9,A14)</f>
        <v/>
      </c>
      <c r="C14" s="24">
        <f>IF($B$15=0,"",B14/$B$15)</f>
        <v/>
      </c>
    </row>
    <row r="15">
      <c r="A15" s="18" t="inlineStr">
        <is>
          <t>Total</t>
        </is>
      </c>
      <c r="B15" s="19">
        <f>SUM(B12:B14)</f>
        <v/>
      </c>
      <c r="C15" s="15">
        <f>IF(B15=0,"",SUM(C12:C14))</f>
        <v/>
      </c>
    </row>
    <row r="17">
      <c r="A17" s="12" t="inlineStr">
        <is>
          <t>Device</t>
        </is>
      </c>
      <c r="B17" s="12" t="inlineStr">
        <is>
          <t>Frequency</t>
        </is>
      </c>
      <c r="C17" s="12" t="inlineStr">
        <is>
          <t>Percentage</t>
        </is>
      </c>
    </row>
    <row r="18">
      <c r="A18" s="10" t="inlineStr">
        <is>
          <t>Laptop or computer</t>
        </is>
      </c>
      <c r="B18" s="6">
        <f>COUNTIF($C$5:$C$9,"x")</f>
        <v/>
      </c>
      <c r="C18" s="24">
        <f>IF($B$15=0,"",B18/$B$15)</f>
        <v/>
      </c>
    </row>
    <row r="19">
      <c r="A19" s="10" t="inlineStr">
        <is>
          <t>Phone</t>
        </is>
      </c>
      <c r="B19" s="6">
        <f>COUNTIF($D$5:$D$9,"x")</f>
        <v/>
      </c>
      <c r="C19" s="24">
        <f>IF($B$15=0,"",B19/$B$15)</f>
        <v/>
      </c>
    </row>
    <row r="20">
      <c r="A20" s="10" t="inlineStr">
        <is>
          <t>Tablet</t>
        </is>
      </c>
      <c r="B20" s="6">
        <f>COUNTIF($E$5:$E$9,"x")</f>
        <v/>
      </c>
      <c r="C20" s="24">
        <f>IF($B$15=0,"",B20/$B$15)</f>
        <v/>
      </c>
    </row>
    <row r="22">
      <c r="A22" s="4" t="inlineStr">
        <is>
          <t>Device percentages are out of all respondents; one person can check more than one device.</t>
        </is>
      </c>
    </row>
    <row r="24">
      <c r="A24" s="18" t="inlineStr">
        <is>
          <t>Average days used</t>
        </is>
      </c>
      <c r="B24" s="19">
        <f>IFERROR(ROUND(AVERAGE(F5:F9),1),"")</f>
        <v/>
      </c>
    </row>
  </sheetData>
  <dataValidations count="1">
    <dataValidation sqref="B5:B9" showDropDown="0" showInputMessage="0" showErrorMessage="0" allowBlank="1" type="list">
      <formula1>"Administrator,Officer,Staff"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60" customWidth="1" min="3" max="3"/>
    <col width="20" customWidth="1" min="4" max="4"/>
  </cols>
  <sheetData>
    <row r="1">
      <c r="A1" s="1" t="inlineStr">
        <is>
          <t>Comments (ISO questionnaire Part III and the usability test's closing questions)</t>
        </is>
      </c>
    </row>
    <row r="2">
      <c r="A2" s="4" t="inlineStr">
        <is>
          <t>Type each answer word for word. Give it a category (for example Ease of use, Speed, Missing feature, Problem) to find the patterns.</t>
        </is>
      </c>
    </row>
    <row r="4">
      <c r="A4" s="5" t="inlineStr">
        <is>
          <t>Respondent No.</t>
        </is>
      </c>
      <c r="B4" s="5" t="inlineStr">
        <is>
          <t>Question</t>
        </is>
      </c>
      <c r="C4" s="5" t="inlineStr">
        <is>
          <t>Answer (word for word)</t>
        </is>
      </c>
      <c r="D4" s="5" t="inlineStr">
        <is>
          <t>Category</t>
        </is>
      </c>
    </row>
    <row r="5">
      <c r="A5" s="25" t="n"/>
      <c r="B5" s="25" t="n"/>
      <c r="C5" s="25" t="n"/>
      <c r="D5" s="25" t="n"/>
    </row>
    <row r="6">
      <c r="A6" s="25" t="n"/>
      <c r="B6" s="25" t="n"/>
      <c r="C6" s="25" t="n"/>
      <c r="D6" s="25" t="n"/>
    </row>
    <row r="7">
      <c r="A7" s="25" t="n"/>
      <c r="B7" s="25" t="n"/>
      <c r="C7" s="25" t="n"/>
      <c r="D7" s="25" t="n"/>
    </row>
    <row r="8">
      <c r="A8" s="25" t="n"/>
      <c r="B8" s="25" t="n"/>
      <c r="C8" s="25" t="n"/>
      <c r="D8" s="25" t="n"/>
    </row>
    <row r="9">
      <c r="A9" s="25" t="n"/>
      <c r="B9" s="25" t="n"/>
      <c r="C9" s="25" t="n"/>
      <c r="D9" s="25" t="n"/>
    </row>
    <row r="10">
      <c r="A10" s="25" t="n"/>
      <c r="B10" s="25" t="n"/>
      <c r="C10" s="25" t="n"/>
      <c r="D10" s="25" t="n"/>
    </row>
    <row r="11">
      <c r="A11" s="25" t="n"/>
      <c r="B11" s="25" t="n"/>
      <c r="C11" s="25" t="n"/>
      <c r="D11" s="25" t="n"/>
    </row>
    <row r="12">
      <c r="A12" s="25" t="n"/>
      <c r="B12" s="25" t="n"/>
      <c r="C12" s="25" t="n"/>
      <c r="D12" s="25" t="n"/>
    </row>
    <row r="13">
      <c r="A13" s="25" t="n"/>
      <c r="B13" s="25" t="n"/>
      <c r="C13" s="25" t="n"/>
      <c r="D13" s="25" t="n"/>
    </row>
    <row r="14">
      <c r="A14" s="25" t="n"/>
      <c r="B14" s="25" t="n"/>
      <c r="C14" s="25" t="n"/>
      <c r="D14" s="25" t="n"/>
    </row>
    <row r="15">
      <c r="A15" s="25" t="n"/>
      <c r="B15" s="25" t="n"/>
      <c r="C15" s="25" t="n"/>
      <c r="D15" s="25" t="n"/>
    </row>
    <row r="16">
      <c r="A16" s="25" t="n"/>
      <c r="B16" s="25" t="n"/>
      <c r="C16" s="25" t="n"/>
      <c r="D16" s="25" t="n"/>
    </row>
    <row r="17">
      <c r="A17" s="25" t="n"/>
      <c r="B17" s="25" t="n"/>
      <c r="C17" s="25" t="n"/>
      <c r="D17" s="25" t="n"/>
    </row>
    <row r="18">
      <c r="A18" s="25" t="n"/>
      <c r="B18" s="25" t="n"/>
      <c r="C18" s="25" t="n"/>
      <c r="D18" s="25" t="n"/>
    </row>
    <row r="19">
      <c r="A19" s="25" t="n"/>
      <c r="B19" s="25" t="n"/>
      <c r="C19" s="25" t="n"/>
      <c r="D19" s="25" t="n"/>
    </row>
    <row r="20">
      <c r="A20" s="25" t="n"/>
      <c r="B20" s="25" t="n"/>
      <c r="C20" s="25" t="n"/>
      <c r="D20" s="25" t="n"/>
    </row>
    <row r="21">
      <c r="A21" s="25" t="n"/>
      <c r="B21" s="25" t="n"/>
      <c r="C21" s="25" t="n"/>
      <c r="D21" s="25" t="n"/>
    </row>
    <row r="22">
      <c r="A22" s="25" t="n"/>
      <c r="B22" s="25" t="n"/>
      <c r="C22" s="25" t="n"/>
      <c r="D22" s="25" t="n"/>
    </row>
    <row r="23">
      <c r="A23" s="25" t="n"/>
      <c r="B23" s="25" t="n"/>
      <c r="C23" s="25" t="n"/>
      <c r="D23" s="25" t="n"/>
    </row>
    <row r="24">
      <c r="A24" s="25" t="n"/>
      <c r="B24" s="25" t="n"/>
      <c r="C24" s="25" t="n"/>
      <c r="D24" s="25" t="n"/>
    </row>
    <row r="25">
      <c r="A25" s="25" t="n"/>
      <c r="B25" s="25" t="n"/>
      <c r="C25" s="25" t="n"/>
      <c r="D25" s="25" t="n"/>
    </row>
    <row r="26">
      <c r="A26" s="25" t="n"/>
      <c r="B26" s="25" t="n"/>
      <c r="C26" s="25" t="n"/>
      <c r="D26" s="25" t="n"/>
    </row>
    <row r="27">
      <c r="A27" s="25" t="n"/>
      <c r="B27" s="25" t="n"/>
      <c r="C27" s="25" t="n"/>
      <c r="D27" s="25" t="n"/>
    </row>
    <row r="28">
      <c r="A28" s="25" t="n"/>
      <c r="B28" s="25" t="n"/>
      <c r="C28" s="25" t="n"/>
      <c r="D28" s="25" t="n"/>
    </row>
    <row r="29">
      <c r="A29" s="25" t="n"/>
      <c r="B29" s="25" t="n"/>
      <c r="C29" s="25" t="n"/>
      <c r="D29" s="25" t="n"/>
    </row>
    <row r="30">
      <c r="A30" s="25" t="n"/>
      <c r="B30" s="25" t="n"/>
      <c r="C30" s="25" t="n"/>
      <c r="D30" s="25" t="n"/>
    </row>
    <row r="31">
      <c r="A31" s="25" t="n"/>
      <c r="B31" s="25" t="n"/>
      <c r="C31" s="25" t="n"/>
      <c r="D31" s="25" t="n"/>
    </row>
    <row r="32">
      <c r="A32" s="25" t="n"/>
      <c r="B32" s="25" t="n"/>
      <c r="C32" s="25" t="n"/>
      <c r="D32" s="25" t="n"/>
    </row>
    <row r="33">
      <c r="A33" s="25" t="n"/>
      <c r="B33" s="25" t="n"/>
      <c r="C33" s="25" t="n"/>
      <c r="D33" s="25" t="n"/>
    </row>
    <row r="34">
      <c r="A34" s="25" t="n"/>
      <c r="B34" s="25" t="n"/>
      <c r="C34" s="25" t="n"/>
      <c r="D34" s="25" t="n"/>
    </row>
    <row r="35">
      <c r="A35" s="25" t="n"/>
      <c r="B35" s="25" t="n"/>
      <c r="C35" s="25" t="n"/>
      <c r="D35" s="25" t="n"/>
    </row>
    <row r="36">
      <c r="A36" s="25" t="n"/>
      <c r="B36" s="25" t="n"/>
      <c r="C36" s="25" t="n"/>
      <c r="D36" s="25" t="n"/>
    </row>
    <row r="37">
      <c r="A37" s="25" t="n"/>
      <c r="B37" s="25" t="n"/>
      <c r="C37" s="25" t="n"/>
      <c r="D37" s="25" t="n"/>
    </row>
    <row r="38">
      <c r="A38" s="25" t="n"/>
      <c r="B38" s="25" t="n"/>
      <c r="C38" s="25" t="n"/>
      <c r="D38" s="25" t="n"/>
    </row>
    <row r="39">
      <c r="A39" s="25" t="n"/>
      <c r="B39" s="25" t="n"/>
      <c r="C39" s="25" t="n"/>
      <c r="D39" s="25" t="n"/>
    </row>
    <row r="40">
      <c r="A40" s="25" t="n"/>
      <c r="B40" s="25" t="n"/>
      <c r="C40" s="25" t="n"/>
      <c r="D40" s="2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16" customWidth="1" min="4" max="4"/>
  </cols>
  <sheetData>
    <row r="1">
      <c r="A1" s="1" t="inlineStr">
        <is>
          <t>Interpretation scale (5-point)</t>
        </is>
      </c>
    </row>
    <row r="2">
      <c r="A2" s="4" t="inlineStr">
        <is>
          <t>Means are rounded to 2 decimals, then read from this table. Confirm the labels with the adviser; changing columns C and D updates every sheet.</t>
        </is>
      </c>
    </row>
    <row r="4">
      <c r="A4" s="12" t="inlineStr">
        <is>
          <t>From</t>
        </is>
      </c>
      <c r="B4" s="12" t="inlineStr">
        <is>
          <t>To</t>
        </is>
      </c>
      <c r="C4" s="12" t="inlineStr">
        <is>
          <t>Description</t>
        </is>
      </c>
      <c r="D4" s="12" t="inlineStr">
        <is>
          <t>Interpretation</t>
        </is>
      </c>
    </row>
    <row r="5">
      <c r="A5" s="23" t="n">
        <v>1</v>
      </c>
      <c r="B5" s="23" t="n">
        <v>1.8</v>
      </c>
      <c r="C5" s="26" t="inlineStr">
        <is>
          <t>Strongly Disagree</t>
        </is>
      </c>
      <c r="D5" s="26" t="inlineStr">
        <is>
          <t>Poor</t>
        </is>
      </c>
    </row>
    <row r="6">
      <c r="A6" s="23" t="n">
        <v>1.81</v>
      </c>
      <c r="B6" s="23" t="n">
        <v>2.6</v>
      </c>
      <c r="C6" s="26" t="inlineStr">
        <is>
          <t>Disagree</t>
        </is>
      </c>
      <c r="D6" s="26" t="inlineStr">
        <is>
          <t>Fair</t>
        </is>
      </c>
    </row>
    <row r="7">
      <c r="A7" s="23" t="n">
        <v>2.61</v>
      </c>
      <c r="B7" s="23" t="n">
        <v>3.4</v>
      </c>
      <c r="C7" s="26" t="inlineStr">
        <is>
          <t>Neutral</t>
        </is>
      </c>
      <c r="D7" s="26" t="inlineStr">
        <is>
          <t>Good</t>
        </is>
      </c>
    </row>
    <row r="8">
      <c r="A8" s="23" t="n">
        <v>3.41</v>
      </c>
      <c r="B8" s="23" t="n">
        <v>4.2</v>
      </c>
      <c r="C8" s="26" t="inlineStr">
        <is>
          <t>Agree</t>
        </is>
      </c>
      <c r="D8" s="26" t="inlineStr">
        <is>
          <t>Very Good</t>
        </is>
      </c>
    </row>
    <row r="9">
      <c r="A9" s="23" t="n">
        <v>4.21</v>
      </c>
      <c r="B9" s="23" t="n">
        <v>5</v>
      </c>
      <c r="C9" s="26" t="inlineStr">
        <is>
          <t>Strongly Agree</t>
        </is>
      </c>
      <c r="D9" s="26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2026-10-30T00:10:09Z</dcterms:created>
  <dcterms:modified xsi:type="dcterms:W3CDTF">2026-10-30T00:10:09Z</dcterms:modified>
</cp:coreProperties>
</file>